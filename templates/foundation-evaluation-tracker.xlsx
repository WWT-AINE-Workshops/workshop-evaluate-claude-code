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rget Tasks" sheetId="2" state="visible" r:id="rId2"/>
    <sheet xmlns:r="http://schemas.openxmlformats.org/officeDocument/2006/relationships" name="Eval Cases" sheetId="3" state="visible" r:id="rId3"/>
    <sheet xmlns:r="http://schemas.openxmlformats.org/officeDocument/2006/relationships" name="Run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Exit Crite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0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0086EA"/>
      <sz val="18"/>
    </font>
    <font>
      <name val="Arial"/>
      <i val="1"/>
      <color rgb="006B6B6B"/>
      <sz val="10"/>
    </font>
    <font>
      <name val="Arial"/>
      <b val="1"/>
      <color rgb="001C0087"/>
      <sz val="11"/>
    </font>
    <font>
      <name val="Arial"/>
      <color rgb="00262626"/>
      <sz val="11"/>
    </font>
    <font>
      <name val="Arial"/>
      <b val="1"/>
      <color rgb="00262626"/>
      <sz val="11"/>
    </font>
    <font>
      <name val="Arial"/>
      <b val="1"/>
      <color rgb="000086EA"/>
      <sz val="16"/>
    </font>
    <font>
      <name val="Arial"/>
      <b val="1"/>
      <color rgb="00FFFFFF"/>
      <sz val="10"/>
    </font>
    <font>
      <name val="Arial"/>
      <color rgb="00262626"/>
      <sz val="10"/>
    </font>
    <font>
      <name val="Arial"/>
      <b val="1"/>
      <color rgb="001C0087"/>
      <sz val="14"/>
    </font>
    <font>
      <name val="Arial"/>
      <i val="1"/>
      <color rgb="006B6B6B"/>
      <sz val="9"/>
    </font>
    <font>
      <name val="Arial"/>
      <b val="1"/>
      <color rgb="00262626"/>
      <sz val="10"/>
    </font>
  </fonts>
  <fills count="6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E6F3FD"/>
      </patternFill>
    </fill>
    <fill>
      <patternFill patternType="solid">
        <fgColor rgb="00EEF0F3"/>
      </patternFill>
    </fill>
    <fill>
      <patternFill patternType="solid">
        <fgColor rgb="001C0087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8" fillId="2" borderId="1" applyAlignment="1" pivotButton="0" quotePrefix="0" xfId="0">
      <alignment vertical="top" wrapText="1"/>
    </xf>
    <xf numFmtId="165" fontId="8" fillId="2" borderId="1" applyAlignment="1" pivotButton="0" quotePrefix="0" xfId="0">
      <alignment vertical="top" wrapText="1"/>
    </xf>
    <xf numFmtId="0" fontId="7" fillId="5" borderId="0" pivotButton="0" quotePrefix="0" xfId="0"/>
    <xf numFmtId="9" fontId="9" fillId="3" borderId="0" pivotButton="0" quotePrefix="0" xfId="0"/>
    <xf numFmtId="0" fontId="10" fillId="0" borderId="0" pivotButton="0" quotePrefix="0" xfId="0"/>
    <xf numFmtId="0" fontId="8" fillId="3" borderId="1" pivotButton="0" quotePrefix="0" xfId="0"/>
    <xf numFmtId="9" fontId="8" fillId="3" borderId="1" pivotButton="0" quotePrefix="0" xfId="0"/>
    <xf numFmtId="0" fontId="11" fillId="0" borderId="1" pivotButton="0" quotePrefix="0" xfId="0"/>
    <xf numFmtId="1" fontId="3" fillId="3" borderId="1" pivotButton="0" quotePrefix="0" xfId="0"/>
    <xf numFmtId="9" fontId="3" fillId="3" borderId="1" pivotButton="0" quotePrefix="0" xfId="0"/>
    <xf numFmtId="9" fontId="8" fillId="2" borderId="1" applyAlignment="1" pivotButton="0" quotePrefix="0" xfId="0">
      <alignment vertical="top" wrapText="1"/>
    </xf>
    <xf numFmtId="9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1E6B34"/>
      </font>
      <fill>
        <patternFill patternType="solid">
          <fgColor rgb="00E3F2E7"/>
        </patternFill>
      </fill>
    </dxf>
    <dxf>
      <font>
        <color rgb="00A1161A"/>
      </font>
      <fill>
        <patternFill patternType="solid">
          <fgColor rgb="00FBE4E5"/>
        </patternFill>
      </fill>
    </dxf>
    <dxf>
      <font>
        <color rgb="008A5A00"/>
      </font>
      <fill>
        <patternFill patternType="solid">
          <fgColor rgb="00FFF0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Foundation evaluation tracker</t>
        </is>
      </c>
    </row>
    <row r="2">
      <c r="A2" s="2" t="inlineStr">
        <is>
          <t>Claude Lab: Evaluate Claude Code on Your Own Work  ·  World Wide Technology</t>
        </is>
      </c>
    </row>
    <row r="4">
      <c r="A4" s="3" t="inlineStr">
        <is>
          <t>How to use</t>
        </is>
      </c>
      <c r="B4" s="4" t="inlineStr"/>
    </row>
    <row r="5">
      <c r="A5" s="5" t="inlineStr">
        <is>
          <t>Target Tasks</t>
        </is>
      </c>
      <c r="B5" s="4" t="inlineStr">
        <is>
          <t>Complete before the workshop. One row per engineering task Claude Code is meant to take on first.</t>
        </is>
      </c>
    </row>
    <row r="6">
      <c r="A6" s="5" t="inlineStr">
        <is>
          <t>Eval Cases</t>
        </is>
      </c>
      <c r="B6" s="4" t="inlineStr">
        <is>
          <t>One row per evaluation case, written from a pull request the team already merged. The merged pull request is the reference output. Keep any weak or reverted earlier output with the case.</t>
        </is>
      </c>
    </row>
    <row r="7">
      <c r="A7" s="5" t="inlineStr">
        <is>
          <t>Runs</t>
        </is>
      </c>
      <c r="B7" s="4" t="inlineStr">
        <is>
          <t>One row per run of a case. Run each case three times. Every baseline run uses a fresh worktree from a clone that stops at the commit before the pull request, run with the eval-run settings file. Save every output outside the repository. Record the Claude Code version, the model, any skill or plugin used, and the cost and duration from the run's --output-format json result (total_cost_usd and duration_ms). run-case.sh prints rows in the Runs column order.</t>
        </is>
      </c>
    </row>
    <row r="8">
      <c r="A8" s="5" t="inlineStr">
        <is>
          <t>Calibration</t>
        </is>
      </c>
      <c r="B8" s="4" t="inlineStr">
        <is>
          <t>Two graders grade each case's reference output and weak output independently. A case meets the documented standard when both graders are domain experts and agree.</t>
        </is>
      </c>
    </row>
    <row r="9">
      <c r="A9" s="5" t="inlineStr">
        <is>
          <t>Summary</t>
        </is>
      </c>
      <c r="B9" s="4" t="inlineStr">
        <is>
          <t>Calculated. Do not type here. Shows pass rates, whether each case passed every run, and pass rates by target task.</t>
        </is>
      </c>
    </row>
    <row r="10">
      <c r="A10" s="5" t="inlineStr">
        <is>
          <t>Decisions</t>
        </is>
      </c>
      <c r="B10" s="4" t="inlineStr">
        <is>
          <t>A decision for each target task and each gap found, with an owner.</t>
        </is>
      </c>
    </row>
    <row r="11">
      <c r="A11" s="5" t="inlineStr">
        <is>
          <t>Exit Criteria</t>
        </is>
      </c>
      <c r="B11" s="4" t="inlineStr">
        <is>
          <t>The criteria the foundation has to meet, set before results come in. Two rows calculate from the Summary and one from Target Tasks; the rest are entered from the analytics dashboard and the foundation's own records.</t>
        </is>
      </c>
    </row>
    <row r="12">
      <c r="A12" s="5" t="inlineStr">
        <is>
          <t>Where things live</t>
        </is>
      </c>
      <c r="B12" s="4" t="inlineStr">
        <is>
          <t>Keep the tracker, the case folders (eval-set/P-01/ with request.md, context.md, reference.diff, weak.diff, note.md), and the run outputs (eval-set/outputs/) outside every repository. Run Claude only in a separate runs folder, and pass eval-run-settings.json with --settings so Claude cannot read outside the run folder.</t>
        </is>
      </c>
    </row>
    <row r="13">
      <c r="A13" s="5" t="inlineStr">
        <is>
          <t>Current as of</t>
        </is>
      </c>
      <c r="B13" s="4" t="inlineStr">
        <is>
          <t>2 October 2026. Product details verified against the Claude Code documentation on that date.</t>
        </is>
      </c>
    </row>
    <row r="14">
      <c r="A14" s="3" t="inlineStr"/>
      <c r="B14" s="4" t="inlineStr"/>
    </row>
    <row r="15">
      <c r="A15" s="3" t="inlineStr">
        <is>
          <t>Color key</t>
        </is>
      </c>
      <c r="B15" s="4" t="inlineStr"/>
    </row>
    <row r="16">
      <c r="A16" s="6" t="inlineStr">
        <is>
          <t>Yellow cells</t>
        </is>
      </c>
      <c r="B16" s="4" t="inlineStr">
        <is>
          <t>Enter your data here.</t>
        </is>
      </c>
    </row>
    <row r="17">
      <c r="A17" s="7" t="inlineStr">
        <is>
          <t>Blue cells</t>
        </is>
      </c>
      <c r="B17" s="4" t="inlineStr">
        <is>
          <t>Calculated automatically.</t>
        </is>
      </c>
    </row>
    <row r="18">
      <c r="A18" s="8" t="inlineStr">
        <is>
          <t>Grey row 4</t>
        </is>
      </c>
      <c r="B18" s="4" t="inlineStr">
        <is>
          <t>A worked example on every tab, showing the expected format. Overwrite or leave it; it is excluded from all calculations.</t>
        </is>
      </c>
    </row>
    <row r="19">
      <c r="A19" s="3" t="inlineStr"/>
      <c r="B19" s="4" t="inlineStr"/>
    </row>
    <row r="20">
      <c r="A20" s="5" t="inlineStr">
        <is>
          <t>Verdicts</t>
        </is>
      </c>
      <c r="B20" s="4" t="inlineStr">
        <is>
          <t>Pass: meets every Must include and breaks no Must not.  Fail: misses or breaks one.  Can't tell: the case is ambiguous and needs rewriting. Can't tell runs are left out of pass rates.</t>
        </is>
      </c>
    </row>
    <row r="21">
      <c r="A21" s="5" t="inlineStr">
        <is>
          <t>When to choose Can't tell</t>
        </is>
      </c>
      <c r="B21" s="4" t="inlineStr">
        <is>
          <t>The verdict depends on something the case does not say. Rewrite the case.</t>
        </is>
      </c>
    </row>
    <row r="22">
      <c r="A22" s="5" t="inlineStr">
        <is>
          <t>Case types</t>
        </is>
      </c>
      <c r="B22" s="4" t="inlineStr">
        <is>
          <t>Capability: tests whether something hard works yet, so a low pass rate is expected.  Regression: tests that something that worked still does, so the pass rate should be close to 100 percent.</t>
        </is>
      </c>
    </row>
    <row r="23">
      <c r="A23" s="5" t="inlineStr">
        <is>
          <t>Calibrated</t>
        </is>
      </c>
      <c r="B23" s="4" t="inlineStr">
        <is>
          <t>Calculated from Calibration. Two experts: both graders were domain experts and agreed.  Expert and presenter: one domain expert and the presenter agreed; the case waits for a second expert.  No: not yet calibrated. A rewritten case is graded again on a new Calibration row.</t>
        </is>
      </c>
    </row>
    <row r="24">
      <c r="A24" s="5" t="inlineStr">
        <is>
          <t>Isolation</t>
        </is>
      </c>
      <c r="B24" s="4" t="inlineStr">
        <is>
          <t>Fresh worktree: every baseline run uses a new git worktree from a clone that stops at the commit before the pull request, run with the eval-run settings file, so no run sees another's edits.  claude plugin eval: for later re-runs, once the foundation's skills ship in a plugin; the plugin's eval suite runs in a temporary home and workspace with only the plugin loaded.</t>
        </is>
      </c>
    </row>
    <row r="25">
      <c r="A25" s="5" t="inlineStr">
        <is>
          <t>Decision options</t>
        </is>
      </c>
      <c r="B25" s="4" t="inlineStr">
        <is>
          <t>Ready to expand, Build a skill, Improve the brief or CLAUDE.md, Add a tool or MCP server, or Out of scope. Target Tasks also allows Not decided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40" customWidth="1" min="4" max="4"/>
    <col width="16" customWidth="1" min="5" max="5"/>
    <col width="12" customWidth="1" min="6" max="6"/>
    <col width="30" customWidth="1" min="7" max="7"/>
    <col width="22" customWidth="1" min="8" max="8"/>
  </cols>
  <sheetData>
    <row r="1">
      <c r="A1" s="9" t="inlineStr">
        <is>
          <t>Target tasks</t>
        </is>
      </c>
    </row>
    <row r="2">
      <c r="A2" s="2" t="inlineStr">
        <is>
          <t>Complete before the workshop. Row 4 is an example.</t>
        </is>
      </c>
    </row>
    <row r="3" ht="42" customHeight="1">
      <c r="A3" s="10" t="inlineStr">
        <is>
          <t>Target task</t>
        </is>
      </c>
      <c r="B3" s="10" t="inlineStr">
        <is>
          <t>Owner (role)</t>
        </is>
      </c>
      <c r="C3" s="10" t="inlineStr">
        <is>
          <t>Team</t>
        </is>
      </c>
      <c r="D3" s="10" t="inlineStr">
        <is>
          <t>What good output looks like</t>
        </is>
      </c>
      <c r="E3" s="10" t="inlineStr">
        <is>
          <t>How often it happens</t>
        </is>
      </c>
      <c r="F3" s="10" t="inlineStr">
        <is>
          <t>Hours per instance today</t>
        </is>
      </c>
      <c r="G3" s="10" t="inlineStr">
        <is>
          <t>Inputs it needs</t>
        </is>
      </c>
      <c r="H3" s="10" t="inlineStr">
        <is>
          <t>Decision</t>
        </is>
      </c>
    </row>
    <row r="4">
      <c r="A4" s="11" t="inlineStr">
        <is>
          <t>Bug fix from a closed issue</t>
        </is>
      </c>
      <c r="B4" s="11" t="inlineStr">
        <is>
          <t>Backend lead</t>
        </is>
      </c>
      <c r="C4" s="11" t="inlineStr">
        <is>
          <t>Platform</t>
        </is>
      </c>
      <c r="D4" s="11" t="inlineStr">
        <is>
          <t>A fix with a regression test that fails before and passes after; no unrelated changes</t>
        </is>
      </c>
      <c r="E4" s="11" t="inlineStr">
        <is>
          <t>Several a week</t>
        </is>
      </c>
      <c r="F4" s="11" t="n">
        <v>2</v>
      </c>
      <c r="G4" s="11" t="inlineStr">
        <is>
          <t>The issue, the repository at the commit it was reported against, the test suite</t>
        </is>
      </c>
      <c r="H4" s="11" t="inlineStr">
        <is>
          <t>Not decided yet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</sheetData>
  <dataValidations count="1">
    <dataValidation sqref="H4:H104" showDropDown="0" showInputMessage="0" showErrorMessage="0" allowBlank="1" type="list">
      <formula1>"Not decided yet,Ready to expand,Build a skill,Improve the brief or CLAUDE.md,Add a tool or MCP server,Out of scope"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2" customWidth="1" min="4" max="4"/>
    <col width="40" customWidth="1" min="5" max="5"/>
    <col width="28" customWidth="1" min="6" max="6"/>
    <col width="32" customWidth="1" min="7" max="7"/>
    <col width="28" customWidth="1" min="8" max="8"/>
    <col width="24" customWidth="1" min="9" max="9"/>
    <col width="26" customWidth="1" min="10" max="10"/>
    <col width="24" customWidth="1" min="11" max="11"/>
    <col width="26" customWidth="1" min="12" max="12"/>
    <col width="16" customWidth="1" min="13" max="13"/>
    <col width="12" customWidth="1" min="14" max="14"/>
    <col width="18" customWidth="1" min="15" max="15"/>
  </cols>
  <sheetData>
    <row r="1">
      <c r="A1" s="9" t="inlineStr">
        <is>
          <t>Evaluation cases</t>
        </is>
      </c>
    </row>
    <row r="2">
      <c r="A2" s="2" t="inlineStr">
        <is>
          <t>One row per case. Row 4 is an example. Calibrated is calculated from the Calibration tab.</t>
        </is>
      </c>
    </row>
    <row r="3" ht="42" customHeight="1">
      <c r="A3" s="10" t="inlineStr">
        <is>
          <t>Case ID</t>
        </is>
      </c>
      <c r="B3" s="10" t="inlineStr">
        <is>
          <t>Target task</t>
        </is>
      </c>
      <c r="C3" s="10" t="inlineStr">
        <is>
          <t>Type</t>
        </is>
      </c>
      <c r="D3" s="10" t="inlineStr">
        <is>
          <t>Should Claude ask first?</t>
        </is>
      </c>
      <c r="E3" s="10" t="inlineStr">
        <is>
          <t>Request, as an engineer would phrase it</t>
        </is>
      </c>
      <c r="F3" s="10" t="inlineStr">
        <is>
          <t>Repository and commit (inputs)</t>
        </is>
      </c>
      <c r="G3" s="10" t="inlineStr">
        <is>
          <t>Must include</t>
        </is>
      </c>
      <c r="H3" s="10" t="inlineStr">
        <is>
          <t>Must not</t>
        </is>
      </c>
      <c r="I3" s="10" t="inlineStr">
        <is>
          <t>Weak output (location, if any)</t>
        </is>
      </c>
      <c r="J3" s="10" t="inlineStr">
        <is>
          <t>Reference output: the merged pull request</t>
        </is>
      </c>
      <c r="K3" s="10" t="inlineStr">
        <is>
          <t>Source of the case</t>
        </is>
      </c>
      <c r="L3" s="10" t="inlineStr">
        <is>
          <t>Automatable grader</t>
        </is>
      </c>
      <c r="M3" s="10" t="inlineStr">
        <is>
          <t>Author (role)</t>
        </is>
      </c>
      <c r="N3" s="10" t="inlineStr">
        <is>
          <t>Date added</t>
        </is>
      </c>
      <c r="O3" s="10" t="inlineStr">
        <is>
          <t>Calibrated</t>
        </is>
      </c>
    </row>
    <row r="4">
      <c r="A4" s="11" t="inlineStr">
        <is>
          <t>EX-01</t>
        </is>
      </c>
      <c r="B4" s="11" t="inlineStr">
        <is>
          <t>Bug fix from a closed issue</t>
        </is>
      </c>
      <c r="C4" s="11" t="inlineStr">
        <is>
          <t>Capability</t>
        </is>
      </c>
      <c r="D4" s="11" t="inlineStr">
        <is>
          <t>No</t>
        </is>
      </c>
      <c r="E4" s="11" t="inlineStr">
        <is>
          <t>Fix issue 142: GET /shipments/{id} returns a 500 when the shipment has no carrier yet</t>
        </is>
      </c>
      <c r="F4" s="11" t="inlineStr">
        <is>
          <t>northwind-shipments-api at the commit before the fix</t>
        </is>
      </c>
      <c r="G4" s="11" t="inlineStr">
        <is>
          <t>The merged pull request's tests pass; the full suite passes</t>
        </is>
      </c>
      <c r="H4" s="11" t="inlineStr">
        <is>
          <t>Changes to the response schema</t>
        </is>
      </c>
      <c r="I4" s="11" t="inlineStr">
        <is>
          <t>eval-set/EX-01/weak.diff</t>
        </is>
      </c>
      <c r="J4" s="11" t="inlineStr">
        <is>
          <t>Pull request 151</t>
        </is>
      </c>
      <c r="K4" s="11" t="inlineStr">
        <is>
          <t>Merged fix for issue 142</t>
        </is>
      </c>
      <c r="L4" s="11" t="inlineStr">
        <is>
          <t>The pull request's tests, then reviewer judgment</t>
        </is>
      </c>
      <c r="M4" s="11" t="inlineStr">
        <is>
          <t>Backend lead</t>
        </is>
      </c>
      <c r="N4" s="11" t="inlineStr">
        <is>
          <t>YYYY-MM-DD</t>
        </is>
      </c>
      <c r="O4" s="11" t="inlineStr">
        <is>
          <t>No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3">
        <f>IF(A5="","",IF(COUNTIFS(Calibration!$A$5:$A$104,A5,Calibration!$G$5:$G$104,"Yes",Calibration!$H$5:$H$104,"Yes")&gt;0,"Two experts",IF(COUNTIFS(Calibration!$A$5:$A$104,A5,Calibration!$G$5:$G$104,"Yes")&gt;0,"Expert and presenter","No")))</f>
        <v/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3">
        <f>IF(A6="","",IF(COUNTIFS(Calibration!$A$5:$A$104,A6,Calibration!$G$5:$G$104,"Yes",Calibration!$H$5:$H$104,"Yes")&gt;0,"Two experts",IF(COUNTIFS(Calibration!$A$5:$A$104,A6,Calibration!$G$5:$G$104,"Yes")&gt;0,"Expert and presenter","No")))</f>
        <v/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3">
        <f>IF(A7="","",IF(COUNTIFS(Calibration!$A$5:$A$104,A7,Calibration!$G$5:$G$104,"Yes",Calibration!$H$5:$H$104,"Yes")&gt;0,"Two experts",IF(COUNTIFS(Calibration!$A$5:$A$104,A7,Calibration!$G$5:$G$104,"Yes")&gt;0,"Expert and presenter","No")))</f>
        <v/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3">
        <f>IF(A8="","",IF(COUNTIFS(Calibration!$A$5:$A$104,A8,Calibration!$G$5:$G$104,"Yes",Calibration!$H$5:$H$104,"Yes")&gt;0,"Two experts",IF(COUNTIFS(Calibration!$A$5:$A$104,A8,Calibration!$G$5:$G$104,"Yes")&gt;0,"Expert and presenter","No")))</f>
        <v/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3">
        <f>IF(A9="","",IF(COUNTIFS(Calibration!$A$5:$A$104,A9,Calibration!$G$5:$G$104,"Yes",Calibration!$H$5:$H$104,"Yes")&gt;0,"Two experts",IF(COUNTIFS(Calibration!$A$5:$A$104,A9,Calibration!$G$5:$G$104,"Yes")&gt;0,"Expert and presenter","No")))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3">
        <f>IF(A10="","",IF(COUNTIFS(Calibration!$A$5:$A$104,A10,Calibration!$G$5:$G$104,"Yes",Calibration!$H$5:$H$104,"Yes")&gt;0,"Two experts",IF(COUNTIFS(Calibration!$A$5:$A$104,A10,Calibration!$G$5:$G$104,"Yes")&gt;0,"Expert and presenter","No")))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3">
        <f>IF(A11="","",IF(COUNTIFS(Calibration!$A$5:$A$104,A11,Calibration!$G$5:$G$104,"Yes",Calibration!$H$5:$H$104,"Yes")&gt;0,"Two experts",IF(COUNTIFS(Calibration!$A$5:$A$104,A11,Calibration!$G$5:$G$104,"Yes")&gt;0,"Expert and presenter","No")))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3">
        <f>IF(A12="","",IF(COUNTIFS(Calibration!$A$5:$A$104,A12,Calibration!$G$5:$G$104,"Yes",Calibration!$H$5:$H$104,"Yes")&gt;0,"Two experts",IF(COUNTIFS(Calibration!$A$5:$A$104,A12,Calibration!$G$5:$G$104,"Yes")&gt;0,"Expert and presenter","No")))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3">
        <f>IF(A13="","",IF(COUNTIFS(Calibration!$A$5:$A$104,A13,Calibration!$G$5:$G$104,"Yes",Calibration!$H$5:$H$104,"Yes")&gt;0,"Two experts",IF(COUNTIFS(Calibration!$A$5:$A$104,A13,Calibration!$G$5:$G$104,"Yes")&gt;0,"Expert and presenter","No")))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3">
        <f>IF(A14="","",IF(COUNTIFS(Calibration!$A$5:$A$104,A14,Calibration!$G$5:$G$104,"Yes",Calibration!$H$5:$H$104,"Yes")&gt;0,"Two experts",IF(COUNTIFS(Calibration!$A$5:$A$104,A14,Calibration!$G$5:$G$104,"Yes")&gt;0,"Expert and presenter","No")))</f>
        <v/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3">
        <f>IF(A15="","",IF(COUNTIFS(Calibration!$A$5:$A$104,A15,Calibration!$G$5:$G$104,"Yes",Calibration!$H$5:$H$104,"Yes")&gt;0,"Two experts",IF(COUNTIFS(Calibration!$A$5:$A$104,A15,Calibration!$G$5:$G$104,"Yes")&gt;0,"Expert and presenter","No")))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3">
        <f>IF(A16="","",IF(COUNTIFS(Calibration!$A$5:$A$104,A16,Calibration!$G$5:$G$104,"Yes",Calibration!$H$5:$H$104,"Yes")&gt;0,"Two experts",IF(COUNTIFS(Calibration!$A$5:$A$104,A16,Calibration!$G$5:$G$104,"Yes")&gt;0,"Expert and presenter","No")))</f>
        <v/>
      </c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3">
        <f>IF(A17="","",IF(COUNTIFS(Calibration!$A$5:$A$104,A17,Calibration!$G$5:$G$104,"Yes",Calibration!$H$5:$H$104,"Yes")&gt;0,"Two experts",IF(COUNTIFS(Calibration!$A$5:$A$104,A17,Calibration!$G$5:$G$104,"Yes")&gt;0,"Expert and presenter","No")))</f>
        <v/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3">
        <f>IF(A18="","",IF(COUNTIFS(Calibration!$A$5:$A$104,A18,Calibration!$G$5:$G$104,"Yes",Calibration!$H$5:$H$104,"Yes")&gt;0,"Two experts",IF(COUNTIFS(Calibration!$A$5:$A$104,A18,Calibration!$G$5:$G$104,"Yes")&gt;0,"Expert and presenter","No")))</f>
        <v/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3">
        <f>IF(A19="","",IF(COUNTIFS(Calibration!$A$5:$A$104,A19,Calibration!$G$5:$G$104,"Yes",Calibration!$H$5:$H$104,"Yes")&gt;0,"Two experts",IF(COUNTIFS(Calibration!$A$5:$A$104,A19,Calibration!$G$5:$G$104,"Yes")&gt;0,"Expert and presenter","No")))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>
        <f>IF(A20="","",IF(COUNTIFS(Calibration!$A$5:$A$104,A20,Calibration!$G$5:$G$104,"Yes",Calibration!$H$5:$H$104,"Yes")&gt;0,"Two experts",IF(COUNTIFS(Calibration!$A$5:$A$104,A20,Calibration!$G$5:$G$104,"Yes")&gt;0,"Expert and presenter","No")))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3">
        <f>IF(A21="","",IF(COUNTIFS(Calibration!$A$5:$A$104,A21,Calibration!$G$5:$G$104,"Yes",Calibration!$H$5:$H$104,"Yes")&gt;0,"Two experts",IF(COUNTIFS(Calibration!$A$5:$A$104,A21,Calibration!$G$5:$G$104,"Yes")&gt;0,"Expert and presenter","No")))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3">
        <f>IF(A22="","",IF(COUNTIFS(Calibration!$A$5:$A$104,A22,Calibration!$G$5:$G$104,"Yes",Calibration!$H$5:$H$104,"Yes")&gt;0,"Two experts",IF(COUNTIFS(Calibration!$A$5:$A$104,A22,Calibration!$G$5:$G$104,"Yes")&gt;0,"Expert and presenter","No")))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3">
        <f>IF(A23="","",IF(COUNTIFS(Calibration!$A$5:$A$104,A23,Calibration!$G$5:$G$104,"Yes",Calibration!$H$5:$H$104,"Yes")&gt;0,"Two experts",IF(COUNTIFS(Calibration!$A$5:$A$104,A23,Calibration!$G$5:$G$104,"Yes")&gt;0,"Expert and presenter","No")))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3">
        <f>IF(A24="","",IF(COUNTIFS(Calibration!$A$5:$A$104,A24,Calibration!$G$5:$G$104,"Yes",Calibration!$H$5:$H$104,"Yes")&gt;0,"Two experts",IF(COUNTIFS(Calibration!$A$5:$A$104,A24,Calibration!$G$5:$G$104,"Yes")&gt;0,"Expert and presenter","No")))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3">
        <f>IF(A25="","",IF(COUNTIFS(Calibration!$A$5:$A$104,A25,Calibration!$G$5:$G$104,"Yes",Calibration!$H$5:$H$104,"Yes")&gt;0,"Two experts",IF(COUNTIFS(Calibration!$A$5:$A$104,A25,Calibration!$G$5:$G$104,"Yes")&gt;0,"Expert and presenter","No")))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3">
        <f>IF(A26="","",IF(COUNTIFS(Calibration!$A$5:$A$104,A26,Calibration!$G$5:$G$104,"Yes",Calibration!$H$5:$H$104,"Yes")&gt;0,"Two experts",IF(COUNTIFS(Calibration!$A$5:$A$104,A26,Calibration!$G$5:$G$104,"Yes")&gt;0,"Expert and presenter","No")))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3">
        <f>IF(A27="","",IF(COUNTIFS(Calibration!$A$5:$A$104,A27,Calibration!$G$5:$G$104,"Yes",Calibration!$H$5:$H$104,"Yes")&gt;0,"Two experts",IF(COUNTIFS(Calibration!$A$5:$A$104,A27,Calibration!$G$5:$G$104,"Yes")&gt;0,"Expert and presenter","No")))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3">
        <f>IF(A28="","",IF(COUNTIFS(Calibration!$A$5:$A$104,A28,Calibration!$G$5:$G$104,"Yes",Calibration!$H$5:$H$104,"Yes")&gt;0,"Two experts",IF(COUNTIFS(Calibration!$A$5:$A$104,A28,Calibration!$G$5:$G$104,"Yes")&gt;0,"Expert and presenter","No")))</f>
        <v/>
      </c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3">
        <f>IF(A29="","",IF(COUNTIFS(Calibration!$A$5:$A$104,A29,Calibration!$G$5:$G$104,"Yes",Calibration!$H$5:$H$104,"Yes")&gt;0,"Two experts",IF(COUNTIFS(Calibration!$A$5:$A$104,A29,Calibration!$G$5:$G$104,"Yes")&gt;0,"Expert and presenter","No")))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3">
        <f>IF(A30="","",IF(COUNTIFS(Calibration!$A$5:$A$104,A30,Calibration!$G$5:$G$104,"Yes",Calibration!$H$5:$H$104,"Yes")&gt;0,"Two experts",IF(COUNTIFS(Calibration!$A$5:$A$104,A30,Calibration!$G$5:$G$104,"Yes")&gt;0,"Expert and presenter","No")))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3">
        <f>IF(A31="","",IF(COUNTIFS(Calibration!$A$5:$A$104,A31,Calibration!$G$5:$G$104,"Yes",Calibration!$H$5:$H$104,"Yes")&gt;0,"Two experts",IF(COUNTIFS(Calibration!$A$5:$A$104,A31,Calibration!$G$5:$G$104,"Yes")&gt;0,"Expert and presenter","No")))</f>
        <v/>
      </c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3">
        <f>IF(A32="","",IF(COUNTIFS(Calibration!$A$5:$A$104,A32,Calibration!$G$5:$G$104,"Yes",Calibration!$H$5:$H$104,"Yes")&gt;0,"Two experts",IF(COUNTIFS(Calibration!$A$5:$A$104,A32,Calibration!$G$5:$G$104,"Yes")&gt;0,"Expert and presenter","No")))</f>
        <v/>
      </c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3">
        <f>IF(A33="","",IF(COUNTIFS(Calibration!$A$5:$A$104,A33,Calibration!$G$5:$G$104,"Yes",Calibration!$H$5:$H$104,"Yes")&gt;0,"Two experts",IF(COUNTIFS(Calibration!$A$5:$A$104,A33,Calibration!$G$5:$G$104,"Yes")&gt;0,"Expert and presenter","No")))</f>
        <v/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3">
        <f>IF(A34="","",IF(COUNTIFS(Calibration!$A$5:$A$104,A34,Calibration!$G$5:$G$104,"Yes",Calibration!$H$5:$H$104,"Yes")&gt;0,"Two experts",IF(COUNTIFS(Calibration!$A$5:$A$104,A34,Calibration!$G$5:$G$104,"Yes")&gt;0,"Expert and presenter","No")))</f>
        <v/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3">
        <f>IF(A35="","",IF(COUNTIFS(Calibration!$A$5:$A$104,A35,Calibration!$G$5:$G$104,"Yes",Calibration!$H$5:$H$104,"Yes")&gt;0,"Two experts",IF(COUNTIFS(Calibration!$A$5:$A$104,A35,Calibration!$G$5:$G$104,"Yes")&gt;0,"Expert and presenter","No")))</f>
        <v/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3">
        <f>IF(A36="","",IF(COUNTIFS(Calibration!$A$5:$A$104,A36,Calibration!$G$5:$G$104,"Yes",Calibration!$H$5:$H$104,"Yes")&gt;0,"Two experts",IF(COUNTIFS(Calibration!$A$5:$A$104,A36,Calibration!$G$5:$G$104,"Yes")&gt;0,"Expert and presenter","No")))</f>
        <v/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3">
        <f>IF(A37="","",IF(COUNTIFS(Calibration!$A$5:$A$104,A37,Calibration!$G$5:$G$104,"Yes",Calibration!$H$5:$H$104,"Yes")&gt;0,"Two experts",IF(COUNTIFS(Calibration!$A$5:$A$104,A37,Calibration!$G$5:$G$104,"Yes")&gt;0,"Expert and presenter","No")))</f>
        <v/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3">
        <f>IF(A38="","",IF(COUNTIFS(Calibration!$A$5:$A$104,A38,Calibration!$G$5:$G$104,"Yes",Calibration!$H$5:$H$104,"Yes")&gt;0,"Two experts",IF(COUNTIFS(Calibration!$A$5:$A$104,A38,Calibration!$G$5:$G$104,"Yes")&gt;0,"Expert and presenter","No")))</f>
        <v/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3">
        <f>IF(A39="","",IF(COUNTIFS(Calibration!$A$5:$A$104,A39,Calibration!$G$5:$G$104,"Yes",Calibration!$H$5:$H$104,"Yes")&gt;0,"Two experts",IF(COUNTIFS(Calibration!$A$5:$A$104,A39,Calibration!$G$5:$G$104,"Yes")&gt;0,"Expert and presenter","No")))</f>
        <v/>
      </c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3">
        <f>IF(A40="","",IF(COUNTIFS(Calibration!$A$5:$A$104,A40,Calibration!$G$5:$G$104,"Yes",Calibration!$H$5:$H$104,"Yes")&gt;0,"Two experts",IF(COUNTIFS(Calibration!$A$5:$A$104,A40,Calibration!$G$5:$G$104,"Yes")&gt;0,"Expert and presenter","No")))</f>
        <v/>
      </c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3">
        <f>IF(A41="","",IF(COUNTIFS(Calibration!$A$5:$A$104,A41,Calibration!$G$5:$G$104,"Yes",Calibration!$H$5:$H$104,"Yes")&gt;0,"Two experts",IF(COUNTIFS(Calibration!$A$5:$A$104,A41,Calibration!$G$5:$G$104,"Yes")&gt;0,"Expert and presenter","No")))</f>
        <v/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3">
        <f>IF(A42="","",IF(COUNTIFS(Calibration!$A$5:$A$104,A42,Calibration!$G$5:$G$104,"Yes",Calibration!$H$5:$H$104,"Yes")&gt;0,"Two experts",IF(COUNTIFS(Calibration!$A$5:$A$104,A42,Calibration!$G$5:$G$104,"Yes")&gt;0,"Expert and presenter","No")))</f>
        <v/>
      </c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3">
        <f>IF(A43="","",IF(COUNTIFS(Calibration!$A$5:$A$104,A43,Calibration!$G$5:$G$104,"Yes",Calibration!$H$5:$H$104,"Yes")&gt;0,"Two experts",IF(COUNTIFS(Calibration!$A$5:$A$104,A43,Calibration!$G$5:$G$104,"Yes")&gt;0,"Expert and presenter","No")))</f>
        <v/>
      </c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3">
        <f>IF(A44="","",IF(COUNTIFS(Calibration!$A$5:$A$104,A44,Calibration!$G$5:$G$104,"Yes",Calibration!$H$5:$H$104,"Yes")&gt;0,"Two experts",IF(COUNTIFS(Calibration!$A$5:$A$104,A44,Calibration!$G$5:$G$104,"Yes")&gt;0,"Expert and presenter","No")))</f>
        <v/>
      </c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3">
        <f>IF(A45="","",IF(COUNTIFS(Calibration!$A$5:$A$104,A45,Calibration!$G$5:$G$104,"Yes",Calibration!$H$5:$H$104,"Yes")&gt;0,"Two experts",IF(COUNTIFS(Calibration!$A$5:$A$104,A45,Calibration!$G$5:$G$104,"Yes")&gt;0,"Expert and presenter","No")))</f>
        <v/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3">
        <f>IF(A46="","",IF(COUNTIFS(Calibration!$A$5:$A$104,A46,Calibration!$G$5:$G$104,"Yes",Calibration!$H$5:$H$104,"Yes")&gt;0,"Two experts",IF(COUNTIFS(Calibration!$A$5:$A$104,A46,Calibration!$G$5:$G$104,"Yes")&gt;0,"Expert and presenter","No")))</f>
        <v/>
      </c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3">
        <f>IF(A47="","",IF(COUNTIFS(Calibration!$A$5:$A$104,A47,Calibration!$G$5:$G$104,"Yes",Calibration!$H$5:$H$104,"Yes")&gt;0,"Two experts",IF(COUNTIFS(Calibration!$A$5:$A$104,A47,Calibration!$G$5:$G$104,"Yes")&gt;0,"Expert and presenter","No")))</f>
        <v/>
      </c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3">
        <f>IF(A48="","",IF(COUNTIFS(Calibration!$A$5:$A$104,A48,Calibration!$G$5:$G$104,"Yes",Calibration!$H$5:$H$104,"Yes")&gt;0,"Two experts",IF(COUNTIFS(Calibration!$A$5:$A$104,A48,Calibration!$G$5:$G$104,"Yes")&gt;0,"Expert and presenter","No")))</f>
        <v/>
      </c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3">
        <f>IF(A49="","",IF(COUNTIFS(Calibration!$A$5:$A$104,A49,Calibration!$G$5:$G$104,"Yes",Calibration!$H$5:$H$104,"Yes")&gt;0,"Two experts",IF(COUNTIFS(Calibration!$A$5:$A$104,A49,Calibration!$G$5:$G$104,"Yes")&gt;0,"Expert and presenter","No")))</f>
        <v/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3">
        <f>IF(A50="","",IF(COUNTIFS(Calibration!$A$5:$A$104,A50,Calibration!$G$5:$G$104,"Yes",Calibration!$H$5:$H$104,"Yes")&gt;0,"Two experts",IF(COUNTIFS(Calibration!$A$5:$A$104,A50,Calibration!$G$5:$G$104,"Yes")&gt;0,"Expert and presenter","No")))</f>
        <v/>
      </c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3">
        <f>IF(A51="","",IF(COUNTIFS(Calibration!$A$5:$A$104,A51,Calibration!$G$5:$G$104,"Yes",Calibration!$H$5:$H$104,"Yes")&gt;0,"Two experts",IF(COUNTIFS(Calibration!$A$5:$A$104,A51,Calibration!$G$5:$G$104,"Yes")&gt;0,"Expert and presenter","No")))</f>
        <v/>
      </c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3">
        <f>IF(A52="","",IF(COUNTIFS(Calibration!$A$5:$A$104,A52,Calibration!$G$5:$G$104,"Yes",Calibration!$H$5:$H$104,"Yes")&gt;0,"Two experts",IF(COUNTIFS(Calibration!$A$5:$A$104,A52,Calibration!$G$5:$G$104,"Yes")&gt;0,"Expert and presenter","No")))</f>
        <v/>
      </c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3">
        <f>IF(A53="","",IF(COUNTIFS(Calibration!$A$5:$A$104,A53,Calibration!$G$5:$G$104,"Yes",Calibration!$H$5:$H$104,"Yes")&gt;0,"Two experts",IF(COUNTIFS(Calibration!$A$5:$A$104,A53,Calibration!$G$5:$G$104,"Yes")&gt;0,"Expert and presenter","No")))</f>
        <v/>
      </c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3">
        <f>IF(A54="","",IF(COUNTIFS(Calibration!$A$5:$A$104,A54,Calibration!$G$5:$G$104,"Yes",Calibration!$H$5:$H$104,"Yes")&gt;0,"Two experts",IF(COUNTIFS(Calibration!$A$5:$A$104,A54,Calibration!$G$5:$G$104,"Yes")&gt;0,"Expert and presenter","No")))</f>
        <v/>
      </c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3">
        <f>IF(A55="","",IF(COUNTIFS(Calibration!$A$5:$A$104,A55,Calibration!$G$5:$G$104,"Yes",Calibration!$H$5:$H$104,"Yes")&gt;0,"Two experts",IF(COUNTIFS(Calibration!$A$5:$A$104,A55,Calibration!$G$5:$G$104,"Yes")&gt;0,"Expert and presenter","No")))</f>
        <v/>
      </c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3">
        <f>IF(A56="","",IF(COUNTIFS(Calibration!$A$5:$A$104,A56,Calibration!$G$5:$G$104,"Yes",Calibration!$H$5:$H$104,"Yes")&gt;0,"Two experts",IF(COUNTIFS(Calibration!$A$5:$A$104,A56,Calibration!$G$5:$G$104,"Yes")&gt;0,"Expert and presenter","No")))</f>
        <v/>
      </c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3">
        <f>IF(A57="","",IF(COUNTIFS(Calibration!$A$5:$A$104,A57,Calibration!$G$5:$G$104,"Yes",Calibration!$H$5:$H$104,"Yes")&gt;0,"Two experts",IF(COUNTIFS(Calibration!$A$5:$A$104,A57,Calibration!$G$5:$G$104,"Yes")&gt;0,"Expert and presenter","No")))</f>
        <v/>
      </c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3">
        <f>IF(A58="","",IF(COUNTIFS(Calibration!$A$5:$A$104,A58,Calibration!$G$5:$G$104,"Yes",Calibration!$H$5:$H$104,"Yes")&gt;0,"Two experts",IF(COUNTIFS(Calibration!$A$5:$A$104,A58,Calibration!$G$5:$G$104,"Yes")&gt;0,"Expert and presenter","No")))</f>
        <v/>
      </c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3">
        <f>IF(A59="","",IF(COUNTIFS(Calibration!$A$5:$A$104,A59,Calibration!$G$5:$G$104,"Yes",Calibration!$H$5:$H$104,"Yes")&gt;0,"Two experts",IF(COUNTIFS(Calibration!$A$5:$A$104,A59,Calibration!$G$5:$G$104,"Yes")&gt;0,"Expert and presenter","No")))</f>
        <v/>
      </c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3">
        <f>IF(A60="","",IF(COUNTIFS(Calibration!$A$5:$A$104,A60,Calibration!$G$5:$G$104,"Yes",Calibration!$H$5:$H$104,"Yes")&gt;0,"Two experts",IF(COUNTIFS(Calibration!$A$5:$A$104,A60,Calibration!$G$5:$G$104,"Yes")&gt;0,"Expert and presenter","No")))</f>
        <v/>
      </c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3">
        <f>IF(A61="","",IF(COUNTIFS(Calibration!$A$5:$A$104,A61,Calibration!$G$5:$G$104,"Yes",Calibration!$H$5:$H$104,"Yes")&gt;0,"Two experts",IF(COUNTIFS(Calibration!$A$5:$A$104,A61,Calibration!$G$5:$G$104,"Yes")&gt;0,"Expert and presenter","No")))</f>
        <v/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3">
        <f>IF(A62="","",IF(COUNTIFS(Calibration!$A$5:$A$104,A62,Calibration!$G$5:$G$104,"Yes",Calibration!$H$5:$H$104,"Yes")&gt;0,"Two experts",IF(COUNTIFS(Calibration!$A$5:$A$104,A62,Calibration!$G$5:$G$104,"Yes")&gt;0,"Expert and presenter","No")))</f>
        <v/>
      </c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3">
        <f>IF(A63="","",IF(COUNTIFS(Calibration!$A$5:$A$104,A63,Calibration!$G$5:$G$104,"Yes",Calibration!$H$5:$H$104,"Yes")&gt;0,"Two experts",IF(COUNTIFS(Calibration!$A$5:$A$104,A63,Calibration!$G$5:$G$104,"Yes")&gt;0,"Expert and presenter","No")))</f>
        <v/>
      </c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3">
        <f>IF(A64="","",IF(COUNTIFS(Calibration!$A$5:$A$104,A64,Calibration!$G$5:$G$104,"Yes",Calibration!$H$5:$H$104,"Yes")&gt;0,"Two experts",IF(COUNTIFS(Calibration!$A$5:$A$104,A64,Calibration!$G$5:$G$104,"Yes")&gt;0,"Expert and presenter","No")))</f>
        <v/>
      </c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3">
        <f>IF(A65="","",IF(COUNTIFS(Calibration!$A$5:$A$104,A65,Calibration!$G$5:$G$104,"Yes",Calibration!$H$5:$H$104,"Yes")&gt;0,"Two experts",IF(COUNTIFS(Calibration!$A$5:$A$104,A65,Calibration!$G$5:$G$104,"Yes")&gt;0,"Expert and presenter","No")))</f>
        <v/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3">
        <f>IF(A66="","",IF(COUNTIFS(Calibration!$A$5:$A$104,A66,Calibration!$G$5:$G$104,"Yes",Calibration!$H$5:$H$104,"Yes")&gt;0,"Two experts",IF(COUNTIFS(Calibration!$A$5:$A$104,A66,Calibration!$G$5:$G$104,"Yes")&gt;0,"Expert and presenter","No")))</f>
        <v/>
      </c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3">
        <f>IF(A67="","",IF(COUNTIFS(Calibration!$A$5:$A$104,A67,Calibration!$G$5:$G$104,"Yes",Calibration!$H$5:$H$104,"Yes")&gt;0,"Two experts",IF(COUNTIFS(Calibration!$A$5:$A$104,A67,Calibration!$G$5:$G$104,"Yes")&gt;0,"Expert and presenter","No")))</f>
        <v/>
      </c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3">
        <f>IF(A68="","",IF(COUNTIFS(Calibration!$A$5:$A$104,A68,Calibration!$G$5:$G$104,"Yes",Calibration!$H$5:$H$104,"Yes")&gt;0,"Two experts",IF(COUNTIFS(Calibration!$A$5:$A$104,A68,Calibration!$G$5:$G$104,"Yes")&gt;0,"Expert and presenter","No")))</f>
        <v/>
      </c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3">
        <f>IF(A69="","",IF(COUNTIFS(Calibration!$A$5:$A$104,A69,Calibration!$G$5:$G$104,"Yes",Calibration!$H$5:$H$104,"Yes")&gt;0,"Two experts",IF(COUNTIFS(Calibration!$A$5:$A$104,A69,Calibration!$G$5:$G$104,"Yes")&gt;0,"Expert and presenter","No")))</f>
        <v/>
      </c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3">
        <f>IF(A70="","",IF(COUNTIFS(Calibration!$A$5:$A$104,A70,Calibration!$G$5:$G$104,"Yes",Calibration!$H$5:$H$104,"Yes")&gt;0,"Two experts",IF(COUNTIFS(Calibration!$A$5:$A$104,A70,Calibration!$G$5:$G$104,"Yes")&gt;0,"Expert and presenter","No")))</f>
        <v/>
      </c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3">
        <f>IF(A71="","",IF(COUNTIFS(Calibration!$A$5:$A$104,A71,Calibration!$G$5:$G$104,"Yes",Calibration!$H$5:$H$104,"Yes")&gt;0,"Two experts",IF(COUNTIFS(Calibration!$A$5:$A$104,A71,Calibration!$G$5:$G$104,"Yes")&gt;0,"Expert and presenter","No")))</f>
        <v/>
      </c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3">
        <f>IF(A72="","",IF(COUNTIFS(Calibration!$A$5:$A$104,A72,Calibration!$G$5:$G$104,"Yes",Calibration!$H$5:$H$104,"Yes")&gt;0,"Two experts",IF(COUNTIFS(Calibration!$A$5:$A$104,A72,Calibration!$G$5:$G$104,"Yes")&gt;0,"Expert and presenter","No")))</f>
        <v/>
      </c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3">
        <f>IF(A73="","",IF(COUNTIFS(Calibration!$A$5:$A$104,A73,Calibration!$G$5:$G$104,"Yes",Calibration!$H$5:$H$104,"Yes")&gt;0,"Two experts",IF(COUNTIFS(Calibration!$A$5:$A$104,A73,Calibration!$G$5:$G$104,"Yes")&gt;0,"Expert and presenter","No")))</f>
        <v/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3">
        <f>IF(A74="","",IF(COUNTIFS(Calibration!$A$5:$A$104,A74,Calibration!$G$5:$G$104,"Yes",Calibration!$H$5:$H$104,"Yes")&gt;0,"Two experts",IF(COUNTIFS(Calibration!$A$5:$A$104,A74,Calibration!$G$5:$G$104,"Yes")&gt;0,"Expert and presenter","No")))</f>
        <v/>
      </c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3">
        <f>IF(A75="","",IF(COUNTIFS(Calibration!$A$5:$A$104,A75,Calibration!$G$5:$G$104,"Yes",Calibration!$H$5:$H$104,"Yes")&gt;0,"Two experts",IF(COUNTIFS(Calibration!$A$5:$A$104,A75,Calibration!$G$5:$G$104,"Yes")&gt;0,"Expert and presenter","No")))</f>
        <v/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3">
        <f>IF(A76="","",IF(COUNTIFS(Calibration!$A$5:$A$104,A76,Calibration!$G$5:$G$104,"Yes",Calibration!$H$5:$H$104,"Yes")&gt;0,"Two experts",IF(COUNTIFS(Calibration!$A$5:$A$104,A76,Calibration!$G$5:$G$104,"Yes")&gt;0,"Expert and presenter","No")))</f>
        <v/>
      </c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3">
        <f>IF(A77="","",IF(COUNTIFS(Calibration!$A$5:$A$104,A77,Calibration!$G$5:$G$104,"Yes",Calibration!$H$5:$H$104,"Yes")&gt;0,"Two experts",IF(COUNTIFS(Calibration!$A$5:$A$104,A77,Calibration!$G$5:$G$104,"Yes")&gt;0,"Expert and presenter","No")))</f>
        <v/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3">
        <f>IF(A78="","",IF(COUNTIFS(Calibration!$A$5:$A$104,A78,Calibration!$G$5:$G$104,"Yes",Calibration!$H$5:$H$104,"Yes")&gt;0,"Two experts",IF(COUNTIFS(Calibration!$A$5:$A$104,A78,Calibration!$G$5:$G$104,"Yes")&gt;0,"Expert and presenter","No")))</f>
        <v/>
      </c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3">
        <f>IF(A79="","",IF(COUNTIFS(Calibration!$A$5:$A$104,A79,Calibration!$G$5:$G$104,"Yes",Calibration!$H$5:$H$104,"Yes")&gt;0,"Two experts",IF(COUNTIFS(Calibration!$A$5:$A$104,A79,Calibration!$G$5:$G$104,"Yes")&gt;0,"Expert and presenter","No")))</f>
        <v/>
      </c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3">
        <f>IF(A80="","",IF(COUNTIFS(Calibration!$A$5:$A$104,A80,Calibration!$G$5:$G$104,"Yes",Calibration!$H$5:$H$104,"Yes")&gt;0,"Two experts",IF(COUNTIFS(Calibration!$A$5:$A$104,A80,Calibration!$G$5:$G$104,"Yes")&gt;0,"Expert and presenter","No")))</f>
        <v/>
      </c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3">
        <f>IF(A81="","",IF(COUNTIFS(Calibration!$A$5:$A$104,A81,Calibration!$G$5:$G$104,"Yes",Calibration!$H$5:$H$104,"Yes")&gt;0,"Two experts",IF(COUNTIFS(Calibration!$A$5:$A$104,A81,Calibration!$G$5:$G$104,"Yes")&gt;0,"Expert and presenter","No")))</f>
        <v/>
      </c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3">
        <f>IF(A82="","",IF(COUNTIFS(Calibration!$A$5:$A$104,A82,Calibration!$G$5:$G$104,"Yes",Calibration!$H$5:$H$104,"Yes")&gt;0,"Two experts",IF(COUNTIFS(Calibration!$A$5:$A$104,A82,Calibration!$G$5:$G$104,"Yes")&gt;0,"Expert and presenter","No")))</f>
        <v/>
      </c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3">
        <f>IF(A83="","",IF(COUNTIFS(Calibration!$A$5:$A$104,A83,Calibration!$G$5:$G$104,"Yes",Calibration!$H$5:$H$104,"Yes")&gt;0,"Two experts",IF(COUNTIFS(Calibration!$A$5:$A$104,A83,Calibration!$G$5:$G$104,"Yes")&gt;0,"Expert and presenter","No")))</f>
        <v/>
      </c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3">
        <f>IF(A84="","",IF(COUNTIFS(Calibration!$A$5:$A$104,A84,Calibration!$G$5:$G$104,"Yes",Calibration!$H$5:$H$104,"Yes")&gt;0,"Two experts",IF(COUNTIFS(Calibration!$A$5:$A$104,A84,Calibration!$G$5:$G$104,"Yes")&gt;0,"Expert and presenter","No")))</f>
        <v/>
      </c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3">
        <f>IF(A85="","",IF(COUNTIFS(Calibration!$A$5:$A$104,A85,Calibration!$G$5:$G$104,"Yes",Calibration!$H$5:$H$104,"Yes")&gt;0,"Two experts",IF(COUNTIFS(Calibration!$A$5:$A$104,A85,Calibration!$G$5:$G$104,"Yes")&gt;0,"Expert and presenter","No")))</f>
        <v/>
      </c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3">
        <f>IF(A86="","",IF(COUNTIFS(Calibration!$A$5:$A$104,A86,Calibration!$G$5:$G$104,"Yes",Calibration!$H$5:$H$104,"Yes")&gt;0,"Two experts",IF(COUNTIFS(Calibration!$A$5:$A$104,A86,Calibration!$G$5:$G$104,"Yes")&gt;0,"Expert and presenter","No")))</f>
        <v/>
      </c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3">
        <f>IF(A87="","",IF(COUNTIFS(Calibration!$A$5:$A$104,A87,Calibration!$G$5:$G$104,"Yes",Calibration!$H$5:$H$104,"Yes")&gt;0,"Two experts",IF(COUNTIFS(Calibration!$A$5:$A$104,A87,Calibration!$G$5:$G$104,"Yes")&gt;0,"Expert and presenter","No")))</f>
        <v/>
      </c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3">
        <f>IF(A88="","",IF(COUNTIFS(Calibration!$A$5:$A$104,A88,Calibration!$G$5:$G$104,"Yes",Calibration!$H$5:$H$104,"Yes")&gt;0,"Two experts",IF(COUNTIFS(Calibration!$A$5:$A$104,A88,Calibration!$G$5:$G$104,"Yes")&gt;0,"Expert and presenter","No")))</f>
        <v/>
      </c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3">
        <f>IF(A89="","",IF(COUNTIFS(Calibration!$A$5:$A$104,A89,Calibration!$G$5:$G$104,"Yes",Calibration!$H$5:$H$104,"Yes")&gt;0,"Two experts",IF(COUNTIFS(Calibration!$A$5:$A$104,A89,Calibration!$G$5:$G$104,"Yes")&gt;0,"Expert and presenter","No")))</f>
        <v/>
      </c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3">
        <f>IF(A90="","",IF(COUNTIFS(Calibration!$A$5:$A$104,A90,Calibration!$G$5:$G$104,"Yes",Calibration!$H$5:$H$104,"Yes")&gt;0,"Two experts",IF(COUNTIFS(Calibration!$A$5:$A$104,A90,Calibration!$G$5:$G$104,"Yes")&gt;0,"Expert and presenter","No")))</f>
        <v/>
      </c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3">
        <f>IF(A91="","",IF(COUNTIFS(Calibration!$A$5:$A$104,A91,Calibration!$G$5:$G$104,"Yes",Calibration!$H$5:$H$104,"Yes")&gt;0,"Two experts",IF(COUNTIFS(Calibration!$A$5:$A$104,A91,Calibration!$G$5:$G$104,"Yes")&gt;0,"Expert and presenter","No")))</f>
        <v/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3">
        <f>IF(A92="","",IF(COUNTIFS(Calibration!$A$5:$A$104,A92,Calibration!$G$5:$G$104,"Yes",Calibration!$H$5:$H$104,"Yes")&gt;0,"Two experts",IF(COUNTIFS(Calibration!$A$5:$A$104,A92,Calibration!$G$5:$G$104,"Yes")&gt;0,"Expert and presenter","No")))</f>
        <v/>
      </c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3">
        <f>IF(A93="","",IF(COUNTIFS(Calibration!$A$5:$A$104,A93,Calibration!$G$5:$G$104,"Yes",Calibration!$H$5:$H$104,"Yes")&gt;0,"Two experts",IF(COUNTIFS(Calibration!$A$5:$A$104,A93,Calibration!$G$5:$G$104,"Yes")&gt;0,"Expert and presenter","No")))</f>
        <v/>
      </c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3">
        <f>IF(A94="","",IF(COUNTIFS(Calibration!$A$5:$A$104,A94,Calibration!$G$5:$G$104,"Yes",Calibration!$H$5:$H$104,"Yes")&gt;0,"Two experts",IF(COUNTIFS(Calibration!$A$5:$A$104,A94,Calibration!$G$5:$G$104,"Yes")&gt;0,"Expert and presenter","No")))</f>
        <v/>
      </c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3">
        <f>IF(A95="","",IF(COUNTIFS(Calibration!$A$5:$A$104,A95,Calibration!$G$5:$G$104,"Yes",Calibration!$H$5:$H$104,"Yes")&gt;0,"Two experts",IF(COUNTIFS(Calibration!$A$5:$A$104,A95,Calibration!$G$5:$G$104,"Yes")&gt;0,"Expert and presenter","No")))</f>
        <v/>
      </c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3">
        <f>IF(A96="","",IF(COUNTIFS(Calibration!$A$5:$A$104,A96,Calibration!$G$5:$G$104,"Yes",Calibration!$H$5:$H$104,"Yes")&gt;0,"Two experts",IF(COUNTIFS(Calibration!$A$5:$A$104,A96,Calibration!$G$5:$G$104,"Yes")&gt;0,"Expert and presenter","No")))</f>
        <v/>
      </c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3">
        <f>IF(A97="","",IF(COUNTIFS(Calibration!$A$5:$A$104,A97,Calibration!$G$5:$G$104,"Yes",Calibration!$H$5:$H$104,"Yes")&gt;0,"Two experts",IF(COUNTIFS(Calibration!$A$5:$A$104,A97,Calibration!$G$5:$G$104,"Yes")&gt;0,"Expert and presenter","No")))</f>
        <v/>
      </c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3">
        <f>IF(A98="","",IF(COUNTIFS(Calibration!$A$5:$A$104,A98,Calibration!$G$5:$G$104,"Yes",Calibration!$H$5:$H$104,"Yes")&gt;0,"Two experts",IF(COUNTIFS(Calibration!$A$5:$A$104,A98,Calibration!$G$5:$G$104,"Yes")&gt;0,"Expert and presenter","No")))</f>
        <v/>
      </c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3">
        <f>IF(A99="","",IF(COUNTIFS(Calibration!$A$5:$A$104,A99,Calibration!$G$5:$G$104,"Yes",Calibration!$H$5:$H$104,"Yes")&gt;0,"Two experts",IF(COUNTIFS(Calibration!$A$5:$A$104,A99,Calibration!$G$5:$G$104,"Yes")&gt;0,"Expert and presenter","No")))</f>
        <v/>
      </c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3">
        <f>IF(A100="","",IF(COUNTIFS(Calibration!$A$5:$A$104,A100,Calibration!$G$5:$G$104,"Yes",Calibration!$H$5:$H$104,"Yes")&gt;0,"Two experts",IF(COUNTIFS(Calibration!$A$5:$A$104,A100,Calibration!$G$5:$G$104,"Yes")&gt;0,"Expert and presenter","No")))</f>
        <v/>
      </c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3">
        <f>IF(A101="","",IF(COUNTIFS(Calibration!$A$5:$A$104,A101,Calibration!$G$5:$G$104,"Yes",Calibration!$H$5:$H$104,"Yes")&gt;0,"Two experts",IF(COUNTIFS(Calibration!$A$5:$A$104,A101,Calibration!$G$5:$G$104,"Yes")&gt;0,"Expert and presenter","No")))</f>
        <v/>
      </c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3">
        <f>IF(A102="","",IF(COUNTIFS(Calibration!$A$5:$A$104,A102,Calibration!$G$5:$G$104,"Yes",Calibration!$H$5:$H$104,"Yes")&gt;0,"Two experts",IF(COUNTIFS(Calibration!$A$5:$A$104,A102,Calibration!$G$5:$G$104,"Yes")&gt;0,"Expert and presenter","No")))</f>
        <v/>
      </c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3">
        <f>IF(A103="","",IF(COUNTIFS(Calibration!$A$5:$A$104,A103,Calibration!$G$5:$G$104,"Yes",Calibration!$H$5:$H$104,"Yes")&gt;0,"Two experts",IF(COUNTIFS(Calibration!$A$5:$A$104,A103,Calibration!$G$5:$G$104,"Yes")&gt;0,"Expert and presenter","No")))</f>
        <v/>
      </c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3">
        <f>IF(A104="","",IF(COUNTIFS(Calibration!$A$5:$A$104,A104,Calibration!$G$5:$G$104,"Yes",Calibration!$H$5:$H$104,"Yes")&gt;0,"Two experts",IF(COUNTIFS(Calibration!$A$5:$A$104,A104,Calibration!$G$5:$G$104,"Yes")&gt;0,"Expert and presenter","No")))</f>
        <v/>
      </c>
    </row>
  </sheetData>
  <dataValidations count="3">
    <dataValidation sqref="C4:C104" showDropDown="0" showInputMessage="0" showErrorMessage="0" allowBlank="1" type="list">
      <formula1>"Capability,Regression"</formula1>
    </dataValidation>
    <dataValidation sqref="D4:D104" showDropDown="0" showInputMessage="0" showErrorMessage="0" allowBlank="1" type="list">
      <formula1>"Yes,No"</formula1>
    </dataValidation>
    <dataValidation sqref="B5:B104" showDropDown="0" showInputMessage="0" showErrorMessage="0" allowBlank="1" type="list">
      <formula1>'Target Tasks'!$A$5:$A$104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4" customWidth="1" min="5" max="5"/>
    <col width="14" customWidth="1" min="6" max="6"/>
    <col width="22" customWidth="1" min="7" max="7"/>
    <col width="18" customWidth="1" min="8" max="8"/>
    <col width="12" customWidth="1" min="9" max="9"/>
    <col width="46" customWidth="1" min="10" max="10"/>
    <col width="34" customWidth="1" min="11" max="11"/>
    <col width="12" customWidth="1" min="12" max="12"/>
    <col width="12" customWidth="1" min="13" max="13"/>
  </cols>
  <sheetData>
    <row r="1">
      <c r="A1" s="9" t="inlineStr">
        <is>
          <t>Runs</t>
        </is>
      </c>
    </row>
    <row r="2">
      <c r="A2" s="2" t="inlineStr">
        <is>
          <t>One row per run. Three runs per case, each in a fresh worktree. Save every output outside the repository. Cost (USD) and Duration (minutes): from the run's --output-format json result: total_cost_usd and duration_ms. run-case.sh prints rows in this column order. Row 4 is an example.</t>
        </is>
      </c>
    </row>
    <row r="3" ht="42" customHeight="1">
      <c r="A3" s="10" t="inlineStr">
        <is>
          <t>Case ID</t>
        </is>
      </c>
      <c r="B3" s="10" t="inlineStr">
        <is>
          <t>Run number</t>
        </is>
      </c>
      <c r="C3" s="10" t="inlineStr">
        <is>
          <t>Date</t>
        </is>
      </c>
      <c r="D3" s="10" t="inlineStr">
        <is>
          <t>Run by (role)</t>
        </is>
      </c>
      <c r="E3" s="10" t="inlineStr">
        <is>
          <t>Claude Code version</t>
        </is>
      </c>
      <c r="F3" s="10" t="inlineStr">
        <is>
          <t>Model</t>
        </is>
      </c>
      <c r="G3" s="10" t="inlineStr">
        <is>
          <t>Skill or plugin used (none, or name and version)</t>
        </is>
      </c>
      <c r="H3" s="10" t="inlineStr">
        <is>
          <t>How isolated</t>
        </is>
      </c>
      <c r="I3" s="10" t="inlineStr">
        <is>
          <t>Verdict</t>
        </is>
      </c>
      <c r="J3" s="10" t="inlineStr">
        <is>
          <t>What we noticed</t>
        </is>
      </c>
      <c r="K3" s="10" t="inlineStr">
        <is>
          <t>Output location (outside the repository)</t>
        </is>
      </c>
      <c r="L3" s="10" t="inlineStr">
        <is>
          <t>Cost (USD)</t>
        </is>
      </c>
      <c r="M3" s="10" t="inlineStr">
        <is>
          <t>Duration (minutes)</t>
        </is>
      </c>
    </row>
    <row r="4">
      <c r="A4" s="11" t="inlineStr">
        <is>
          <t>EX-01</t>
        </is>
      </c>
      <c r="B4" s="11" t="n">
        <v>1</v>
      </c>
      <c r="C4" s="11" t="inlineStr">
        <is>
          <t>YYYY-MM-DD</t>
        </is>
      </c>
      <c r="D4" s="11" t="inlineStr">
        <is>
          <t>Reviewer</t>
        </is>
      </c>
      <c r="E4" s="11" t="inlineStr">
        <is>
          <t>2.1.xxx</t>
        </is>
      </c>
      <c r="F4" s="11" t="inlineStr">
        <is>
          <t>Default</t>
        </is>
      </c>
      <c r="G4" s="11" t="inlineStr">
        <is>
          <t>None</t>
        </is>
      </c>
      <c r="H4" s="11" t="inlineStr">
        <is>
          <t>Fresh worktree</t>
        </is>
      </c>
      <c r="I4" s="11" t="inlineStr">
        <is>
          <t>Pass</t>
        </is>
      </c>
      <c r="J4" s="11" t="inlineStr">
        <is>
          <t>Regression test passes; diff touches only the lookup</t>
        </is>
      </c>
      <c r="K4" s="11" t="inlineStr">
        <is>
          <t>eval-set/outputs/EX-01-run-1</t>
        </is>
      </c>
      <c r="L4" s="14" t="n">
        <v>0.42</v>
      </c>
      <c r="M4" s="15" t="n">
        <v>3.5</v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6" t="n"/>
      <c r="M5" s="17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6" t="n"/>
      <c r="M6" s="17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6" t="n"/>
      <c r="M7" s="17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6" t="n"/>
      <c r="M8" s="17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6" t="n"/>
      <c r="M9" s="17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6" t="n"/>
      <c r="M10" s="17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6" t="n"/>
      <c r="M11" s="17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6" t="n"/>
      <c r="M12" s="17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6" t="n"/>
      <c r="M13" s="17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6" t="n"/>
      <c r="M14" s="17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6" t="n"/>
      <c r="M15" s="17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6" t="n"/>
      <c r="M16" s="17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6" t="n"/>
      <c r="M17" s="17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6" t="n"/>
      <c r="M18" s="17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6" t="n"/>
      <c r="M19" s="17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6" t="n"/>
      <c r="M20" s="17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6" t="n"/>
      <c r="M21" s="17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6" t="n"/>
      <c r="M22" s="17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6" t="n"/>
      <c r="M23" s="17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6" t="n"/>
      <c r="M24" s="17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6" t="n"/>
      <c r="M25" s="17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6" t="n"/>
      <c r="M26" s="17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6" t="n"/>
      <c r="M27" s="17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6" t="n"/>
      <c r="M28" s="17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6" t="n"/>
      <c r="M29" s="17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6" t="n"/>
      <c r="M30" s="17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6" t="n"/>
      <c r="M31" s="17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6" t="n"/>
      <c r="M32" s="17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6" t="n"/>
      <c r="M33" s="17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6" t="n"/>
      <c r="M34" s="17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6" t="n"/>
      <c r="M35" s="17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6" t="n"/>
      <c r="M36" s="17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6" t="n"/>
      <c r="M37" s="17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6" t="n"/>
      <c r="M38" s="17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6" t="n"/>
      <c r="M39" s="17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6" t="n"/>
      <c r="M40" s="17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6" t="n"/>
      <c r="M41" s="17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6" t="n"/>
      <c r="M42" s="17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6" t="n"/>
      <c r="M43" s="17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6" t="n"/>
      <c r="M44" s="17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6" t="n"/>
      <c r="M45" s="17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6" t="n"/>
      <c r="M46" s="17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6" t="n"/>
      <c r="M47" s="17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6" t="n"/>
      <c r="M48" s="17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6" t="n"/>
      <c r="M49" s="17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6" t="n"/>
      <c r="M50" s="17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6" t="n"/>
      <c r="M51" s="17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6" t="n"/>
      <c r="M52" s="17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6" t="n"/>
      <c r="M53" s="17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6" t="n"/>
      <c r="M54" s="17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6" t="n"/>
      <c r="M55" s="17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6" t="n"/>
      <c r="M56" s="17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6" t="n"/>
      <c r="M57" s="17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6" t="n"/>
      <c r="M58" s="17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6" t="n"/>
      <c r="M59" s="17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6" t="n"/>
      <c r="M60" s="17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6" t="n"/>
      <c r="M61" s="17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6" t="n"/>
      <c r="M62" s="17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6" t="n"/>
      <c r="M63" s="17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6" t="n"/>
      <c r="M64" s="17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6" t="n"/>
      <c r="M65" s="17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6" t="n"/>
      <c r="M66" s="17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6" t="n"/>
      <c r="M67" s="17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6" t="n"/>
      <c r="M68" s="17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6" t="n"/>
      <c r="M69" s="17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6" t="n"/>
      <c r="M70" s="17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6" t="n"/>
      <c r="M71" s="17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6" t="n"/>
      <c r="M72" s="17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6" t="n"/>
      <c r="M73" s="17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6" t="n"/>
      <c r="M74" s="17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6" t="n"/>
      <c r="M75" s="17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6" t="n"/>
      <c r="M76" s="17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6" t="n"/>
      <c r="M77" s="17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6" t="n"/>
      <c r="M78" s="17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6" t="n"/>
      <c r="M79" s="17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6" t="n"/>
      <c r="M80" s="17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6" t="n"/>
      <c r="M81" s="17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6" t="n"/>
      <c r="M82" s="17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6" t="n"/>
      <c r="M83" s="17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6" t="n"/>
      <c r="M84" s="17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6" t="n"/>
      <c r="M85" s="17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6" t="n"/>
      <c r="M86" s="17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6" t="n"/>
      <c r="M87" s="17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6" t="n"/>
      <c r="M88" s="17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6" t="n"/>
      <c r="M89" s="17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6" t="n"/>
      <c r="M90" s="17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6" t="n"/>
      <c r="M91" s="17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6" t="n"/>
      <c r="M92" s="17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6" t="n"/>
      <c r="M93" s="17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6" t="n"/>
      <c r="M94" s="17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6" t="n"/>
      <c r="M95" s="17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6" t="n"/>
      <c r="M96" s="17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6" t="n"/>
      <c r="M97" s="17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6" t="n"/>
      <c r="M98" s="17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6" t="n"/>
      <c r="M99" s="17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6" t="n"/>
      <c r="M100" s="17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6" t="n"/>
      <c r="M101" s="17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6" t="n"/>
      <c r="M102" s="17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6" t="n"/>
      <c r="M103" s="17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6" t="n"/>
      <c r="M104" s="17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6" t="n"/>
      <c r="M105" s="17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6" t="n"/>
      <c r="M106" s="17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6" t="n"/>
      <c r="M107" s="17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6" t="n"/>
      <c r="M108" s="17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6" t="n"/>
      <c r="M109" s="17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6" t="n"/>
      <c r="M110" s="17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6" t="n"/>
      <c r="M111" s="17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6" t="n"/>
      <c r="M112" s="17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6" t="n"/>
      <c r="M113" s="17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6" t="n"/>
      <c r="M114" s="17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6" t="n"/>
      <c r="M115" s="17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6" t="n"/>
      <c r="M116" s="17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6" t="n"/>
      <c r="M117" s="17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6" t="n"/>
      <c r="M118" s="17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6" t="n"/>
      <c r="M119" s="17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6" t="n"/>
      <c r="M120" s="17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6" t="n"/>
      <c r="M121" s="17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6" t="n"/>
      <c r="M122" s="17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6" t="n"/>
      <c r="M123" s="17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6" t="n"/>
      <c r="M124" s="17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6" t="n"/>
      <c r="M125" s="17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6" t="n"/>
      <c r="M126" s="17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6" t="n"/>
      <c r="M127" s="17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6" t="n"/>
      <c r="M128" s="17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6" t="n"/>
      <c r="M129" s="17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6" t="n"/>
      <c r="M130" s="17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6" t="n"/>
      <c r="M131" s="17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6" t="n"/>
      <c r="M132" s="17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6" t="n"/>
      <c r="M133" s="17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6" t="n"/>
      <c r="M134" s="17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6" t="n"/>
      <c r="M135" s="17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6" t="n"/>
      <c r="M136" s="17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6" t="n"/>
      <c r="M137" s="17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6" t="n"/>
      <c r="M138" s="17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6" t="n"/>
      <c r="M139" s="17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6" t="n"/>
      <c r="M140" s="17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6" t="n"/>
      <c r="M141" s="17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6" t="n"/>
      <c r="M142" s="17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6" t="n"/>
      <c r="M143" s="17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6" t="n"/>
      <c r="M144" s="17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6" t="n"/>
      <c r="M145" s="17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6" t="n"/>
      <c r="M146" s="17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6" t="n"/>
      <c r="M147" s="17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6" t="n"/>
      <c r="M148" s="17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6" t="n"/>
      <c r="M149" s="17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6" t="n"/>
      <c r="M150" s="17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6" t="n"/>
      <c r="M151" s="17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6" t="n"/>
      <c r="M152" s="17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6" t="n"/>
      <c r="M153" s="17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6" t="n"/>
      <c r="M154" s="17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6" t="n"/>
      <c r="M155" s="17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6" t="n"/>
      <c r="M156" s="17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6" t="n"/>
      <c r="M157" s="17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6" t="n"/>
      <c r="M158" s="17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6" t="n"/>
      <c r="M159" s="17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6" t="n"/>
      <c r="M160" s="17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6" t="n"/>
      <c r="M161" s="17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6" t="n"/>
      <c r="M162" s="17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6" t="n"/>
      <c r="M163" s="17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6" t="n"/>
      <c r="M164" s="17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6" t="n"/>
      <c r="M165" s="17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6" t="n"/>
      <c r="M166" s="17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6" t="n"/>
      <c r="M167" s="17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6" t="n"/>
      <c r="M168" s="17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6" t="n"/>
      <c r="M169" s="17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6" t="n"/>
      <c r="M170" s="17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6" t="n"/>
      <c r="M171" s="17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6" t="n"/>
      <c r="M172" s="17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6" t="n"/>
      <c r="M173" s="17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6" t="n"/>
      <c r="M174" s="17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6" t="n"/>
      <c r="M175" s="17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6" t="n"/>
      <c r="M176" s="17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6" t="n"/>
      <c r="M177" s="17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6" t="n"/>
      <c r="M178" s="17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6" t="n"/>
      <c r="M179" s="17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6" t="n"/>
      <c r="M180" s="17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6" t="n"/>
      <c r="M181" s="17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6" t="n"/>
      <c r="M182" s="17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6" t="n"/>
      <c r="M183" s="17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6" t="n"/>
      <c r="M184" s="17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6" t="n"/>
      <c r="M185" s="17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6" t="n"/>
      <c r="M186" s="17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6" t="n"/>
      <c r="M187" s="17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6" t="n"/>
      <c r="M188" s="17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6" t="n"/>
      <c r="M189" s="17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6" t="n"/>
      <c r="M190" s="17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6" t="n"/>
      <c r="M191" s="17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6" t="n"/>
      <c r="M192" s="17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6" t="n"/>
      <c r="M193" s="17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6" t="n"/>
      <c r="M194" s="17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6" t="n"/>
      <c r="M195" s="17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6" t="n"/>
      <c r="M196" s="17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6" t="n"/>
      <c r="M197" s="17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6" t="n"/>
      <c r="M198" s="17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6" t="n"/>
      <c r="M199" s="17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6" t="n"/>
      <c r="M200" s="17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6" t="n"/>
      <c r="M201" s="17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6" t="n"/>
      <c r="M202" s="17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6" t="n"/>
      <c r="M203" s="17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6" t="n"/>
      <c r="M204" s="17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6" t="n"/>
      <c r="M205" s="17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6" t="n"/>
      <c r="M206" s="17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6" t="n"/>
      <c r="M207" s="17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6" t="n"/>
      <c r="M208" s="17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6" t="n"/>
      <c r="M209" s="17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6" t="n"/>
      <c r="M210" s="17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6" t="n"/>
      <c r="M211" s="17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6" t="n"/>
      <c r="M212" s="17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6" t="n"/>
      <c r="M213" s="17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6" t="n"/>
      <c r="M214" s="17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6" t="n"/>
      <c r="M215" s="17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6" t="n"/>
      <c r="M216" s="17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6" t="n"/>
      <c r="M217" s="17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6" t="n"/>
      <c r="M218" s="17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6" t="n"/>
      <c r="M219" s="17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6" t="n"/>
      <c r="M220" s="17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6" t="n"/>
      <c r="M221" s="17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6" t="n"/>
      <c r="M222" s="17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6" t="n"/>
      <c r="M223" s="17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6" t="n"/>
      <c r="M224" s="17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6" t="n"/>
      <c r="M225" s="17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6" t="n"/>
      <c r="M226" s="17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6" t="n"/>
      <c r="M227" s="17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6" t="n"/>
      <c r="M228" s="17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6" t="n"/>
      <c r="M229" s="17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6" t="n"/>
      <c r="M230" s="17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6" t="n"/>
      <c r="M231" s="17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6" t="n"/>
      <c r="M232" s="17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6" t="n"/>
      <c r="M233" s="17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6" t="n"/>
      <c r="M234" s="17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6" t="n"/>
      <c r="M235" s="17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6" t="n"/>
      <c r="M236" s="17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6" t="n"/>
      <c r="M237" s="17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6" t="n"/>
      <c r="M238" s="17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6" t="n"/>
      <c r="M239" s="17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6" t="n"/>
      <c r="M240" s="17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6" t="n"/>
      <c r="M241" s="17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6" t="n"/>
      <c r="M242" s="17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6" t="n"/>
      <c r="M243" s="17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6" t="n"/>
      <c r="M244" s="17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6" t="n"/>
      <c r="M245" s="17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6" t="n"/>
      <c r="M246" s="17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6" t="n"/>
      <c r="M247" s="17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6" t="n"/>
      <c r="M248" s="17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6" t="n"/>
      <c r="M249" s="17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6" t="n"/>
      <c r="M250" s="17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6" t="n"/>
      <c r="M251" s="17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6" t="n"/>
      <c r="M252" s="17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6" t="n"/>
      <c r="M253" s="17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6" t="n"/>
      <c r="M254" s="17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6" t="n"/>
      <c r="M255" s="17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6" t="n"/>
      <c r="M256" s="17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6" t="n"/>
      <c r="M257" s="17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6" t="n"/>
      <c r="M258" s="17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6" t="n"/>
      <c r="M259" s="17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6" t="n"/>
      <c r="M260" s="17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6" t="n"/>
      <c r="M261" s="17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6" t="n"/>
      <c r="M262" s="17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6" t="n"/>
      <c r="M263" s="17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6" t="n"/>
      <c r="M264" s="17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6" t="n"/>
      <c r="M265" s="17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6" t="n"/>
      <c r="M266" s="17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6" t="n"/>
      <c r="M267" s="17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6" t="n"/>
      <c r="M268" s="17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6" t="n"/>
      <c r="M269" s="17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6" t="n"/>
      <c r="M270" s="17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6" t="n"/>
      <c r="M271" s="17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6" t="n"/>
      <c r="M272" s="17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6" t="n"/>
      <c r="M273" s="17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6" t="n"/>
      <c r="M274" s="17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6" t="n"/>
      <c r="M275" s="17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6" t="n"/>
      <c r="M276" s="17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6" t="n"/>
      <c r="M277" s="17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6" t="n"/>
      <c r="M278" s="17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6" t="n"/>
      <c r="M279" s="17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6" t="n"/>
      <c r="M280" s="17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6" t="n"/>
      <c r="M281" s="17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6" t="n"/>
      <c r="M282" s="17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6" t="n"/>
      <c r="M283" s="17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6" t="n"/>
      <c r="M284" s="17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6" t="n"/>
      <c r="M285" s="17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6" t="n"/>
      <c r="M286" s="17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6" t="n"/>
      <c r="M287" s="17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6" t="n"/>
      <c r="M288" s="17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6" t="n"/>
      <c r="M289" s="17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6" t="n"/>
      <c r="M290" s="17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6" t="n"/>
      <c r="M291" s="17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6" t="n"/>
      <c r="M292" s="17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6" t="n"/>
      <c r="M293" s="17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6" t="n"/>
      <c r="M294" s="17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6" t="n"/>
      <c r="M295" s="17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6" t="n"/>
      <c r="M296" s="17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6" t="n"/>
      <c r="M297" s="17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6" t="n"/>
      <c r="M298" s="17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6" t="n"/>
      <c r="M299" s="17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6" t="n"/>
      <c r="M300" s="17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6" t="n"/>
      <c r="M301" s="17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6" t="n"/>
      <c r="M302" s="17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6" t="n"/>
      <c r="M303" s="17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6" t="n"/>
      <c r="M304" s="17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6" t="n"/>
      <c r="M305" s="17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6" t="n"/>
      <c r="M306" s="17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6" t="n"/>
      <c r="M307" s="17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6" t="n"/>
      <c r="M308" s="17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6" t="n"/>
      <c r="M309" s="17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6" t="n"/>
      <c r="M310" s="17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6" t="n"/>
      <c r="M311" s="17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6" t="n"/>
      <c r="M312" s="17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6" t="n"/>
      <c r="M313" s="17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6" t="n"/>
      <c r="M314" s="17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6" t="n"/>
      <c r="M315" s="17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6" t="n"/>
      <c r="M316" s="17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6" t="n"/>
      <c r="M317" s="17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6" t="n"/>
      <c r="M318" s="17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6" t="n"/>
      <c r="M319" s="17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6" t="n"/>
      <c r="M320" s="17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6" t="n"/>
      <c r="M321" s="17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6" t="n"/>
      <c r="M322" s="17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6" t="n"/>
      <c r="M323" s="17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6" t="n"/>
      <c r="M324" s="17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6" t="n"/>
      <c r="M325" s="17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6" t="n"/>
      <c r="M326" s="17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6" t="n"/>
      <c r="M327" s="17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6" t="n"/>
      <c r="M328" s="17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6" t="n"/>
      <c r="M329" s="17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6" t="n"/>
      <c r="M330" s="17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6" t="n"/>
      <c r="M331" s="17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6" t="n"/>
      <c r="M332" s="17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6" t="n"/>
      <c r="M333" s="17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6" t="n"/>
      <c r="M334" s="17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6" t="n"/>
      <c r="M335" s="17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6" t="n"/>
      <c r="M336" s="17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6" t="n"/>
      <c r="M337" s="17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6" t="n"/>
      <c r="M338" s="17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6" t="n"/>
      <c r="M339" s="17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6" t="n"/>
      <c r="M340" s="17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6" t="n"/>
      <c r="M341" s="17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6" t="n"/>
      <c r="M342" s="17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6" t="n"/>
      <c r="M343" s="17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6" t="n"/>
      <c r="M344" s="17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6" t="n"/>
      <c r="M345" s="17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6" t="n"/>
      <c r="M346" s="17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6" t="n"/>
      <c r="M347" s="17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6" t="n"/>
      <c r="M348" s="17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6" t="n"/>
      <c r="M349" s="17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6" t="n"/>
      <c r="M350" s="17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6" t="n"/>
      <c r="M351" s="17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6" t="n"/>
      <c r="M352" s="17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6" t="n"/>
      <c r="M353" s="17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6" t="n"/>
      <c r="M354" s="17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6" t="n"/>
      <c r="M355" s="17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6" t="n"/>
      <c r="M356" s="17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6" t="n"/>
      <c r="M357" s="17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6" t="n"/>
      <c r="M358" s="17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6" t="n"/>
      <c r="M359" s="17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6" t="n"/>
      <c r="M360" s="17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6" t="n"/>
      <c r="M361" s="17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6" t="n"/>
      <c r="M362" s="17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6" t="n"/>
      <c r="M363" s="17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6" t="n"/>
      <c r="M364" s="17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6" t="n"/>
      <c r="M365" s="17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6" t="n"/>
      <c r="M366" s="17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6" t="n"/>
      <c r="M367" s="17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6" t="n"/>
      <c r="M368" s="17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6" t="n"/>
      <c r="M369" s="17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6" t="n"/>
      <c r="M370" s="17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6" t="n"/>
      <c r="M371" s="17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6" t="n"/>
      <c r="M372" s="17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6" t="n"/>
      <c r="M373" s="17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6" t="n"/>
      <c r="M374" s="17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6" t="n"/>
      <c r="M375" s="17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6" t="n"/>
      <c r="M376" s="17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6" t="n"/>
      <c r="M377" s="17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6" t="n"/>
      <c r="M378" s="17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6" t="n"/>
      <c r="M379" s="17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6" t="n"/>
      <c r="M380" s="17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6" t="n"/>
      <c r="M381" s="17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6" t="n"/>
      <c r="M382" s="17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6" t="n"/>
      <c r="M383" s="17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6" t="n"/>
      <c r="M384" s="17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6" t="n"/>
      <c r="M385" s="17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6" t="n"/>
      <c r="M386" s="17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6" t="n"/>
      <c r="M387" s="17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6" t="n"/>
      <c r="M388" s="17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6" t="n"/>
      <c r="M389" s="17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6" t="n"/>
      <c r="M390" s="17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6" t="n"/>
      <c r="M391" s="17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6" t="n"/>
      <c r="M392" s="17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6" t="n"/>
      <c r="M393" s="17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6" t="n"/>
      <c r="M394" s="17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6" t="n"/>
      <c r="M395" s="17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6" t="n"/>
      <c r="M396" s="17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6" t="n"/>
      <c r="M397" s="17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6" t="n"/>
      <c r="M398" s="17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6" t="n"/>
      <c r="M399" s="17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6" t="n"/>
      <c r="M400" s="17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6" t="n"/>
      <c r="M401" s="17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6" t="n"/>
      <c r="M402" s="17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6" t="n"/>
      <c r="M403" s="17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6" t="n"/>
      <c r="M404" s="17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6" t="n"/>
      <c r="M405" s="17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6" t="n"/>
      <c r="M406" s="17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6" t="n"/>
      <c r="M407" s="17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6" t="n"/>
      <c r="M408" s="17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6" t="n"/>
      <c r="M409" s="17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6" t="n"/>
      <c r="M410" s="17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6" t="n"/>
      <c r="M411" s="17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6" t="n"/>
      <c r="M412" s="17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6" t="n"/>
      <c r="M413" s="17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6" t="n"/>
      <c r="M414" s="17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6" t="n"/>
      <c r="M415" s="17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6" t="n"/>
      <c r="M416" s="17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6" t="n"/>
      <c r="M417" s="17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6" t="n"/>
      <c r="M418" s="17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6" t="n"/>
      <c r="M419" s="17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6" t="n"/>
      <c r="M420" s="17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6" t="n"/>
      <c r="M421" s="17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6" t="n"/>
      <c r="M422" s="17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6" t="n"/>
      <c r="M423" s="17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6" t="n"/>
      <c r="M424" s="17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6" t="n"/>
      <c r="M425" s="17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6" t="n"/>
      <c r="M426" s="17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6" t="n"/>
      <c r="M427" s="17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6" t="n"/>
      <c r="M428" s="17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6" t="n"/>
      <c r="M429" s="17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6" t="n"/>
      <c r="M430" s="17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6" t="n"/>
      <c r="M431" s="17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6" t="n"/>
      <c r="M432" s="17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6" t="n"/>
      <c r="M433" s="17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6" t="n"/>
      <c r="M434" s="17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6" t="n"/>
      <c r="M435" s="17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6" t="n"/>
      <c r="M436" s="17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6" t="n"/>
      <c r="M437" s="17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6" t="n"/>
      <c r="M438" s="17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6" t="n"/>
      <c r="M439" s="17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6" t="n"/>
      <c r="M440" s="17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6" t="n"/>
      <c r="M441" s="17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6" t="n"/>
      <c r="M442" s="17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6" t="n"/>
      <c r="M443" s="17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6" t="n"/>
      <c r="M444" s="17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6" t="n"/>
      <c r="M445" s="17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6" t="n"/>
      <c r="M446" s="17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6" t="n"/>
      <c r="M447" s="17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6" t="n"/>
      <c r="M448" s="17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6" t="n"/>
      <c r="M449" s="17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6" t="n"/>
      <c r="M450" s="17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6" t="n"/>
      <c r="M451" s="17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6" t="n"/>
      <c r="M452" s="17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6" t="n"/>
      <c r="M453" s="17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6" t="n"/>
      <c r="M454" s="17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6" t="n"/>
      <c r="M455" s="17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6" t="n"/>
      <c r="M456" s="17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6" t="n"/>
      <c r="M457" s="17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6" t="n"/>
      <c r="M458" s="17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6" t="n"/>
      <c r="M459" s="17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6" t="n"/>
      <c r="M460" s="17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6" t="n"/>
      <c r="M461" s="17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6" t="n"/>
      <c r="M462" s="17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6" t="n"/>
      <c r="M463" s="17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6" t="n"/>
      <c r="M464" s="17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6" t="n"/>
      <c r="M465" s="17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6" t="n"/>
      <c r="M466" s="17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6" t="n"/>
      <c r="M467" s="17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6" t="n"/>
      <c r="M468" s="17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6" t="n"/>
      <c r="M469" s="17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6" t="n"/>
      <c r="M470" s="17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6" t="n"/>
      <c r="M471" s="17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6" t="n"/>
      <c r="M472" s="17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6" t="n"/>
      <c r="M473" s="17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6" t="n"/>
      <c r="M474" s="17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6" t="n"/>
      <c r="M475" s="17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6" t="n"/>
      <c r="M476" s="17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6" t="n"/>
      <c r="M477" s="17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6" t="n"/>
      <c r="M478" s="17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6" t="n"/>
      <c r="M479" s="17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6" t="n"/>
      <c r="M480" s="17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6" t="n"/>
      <c r="M481" s="17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6" t="n"/>
      <c r="M482" s="17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6" t="n"/>
      <c r="M483" s="17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6" t="n"/>
      <c r="M484" s="17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6" t="n"/>
      <c r="M485" s="17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6" t="n"/>
      <c r="M486" s="17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6" t="n"/>
      <c r="M487" s="17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6" t="n"/>
      <c r="M488" s="17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6" t="n"/>
      <c r="M489" s="17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6" t="n"/>
      <c r="M490" s="17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6" t="n"/>
      <c r="M491" s="17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6" t="n"/>
      <c r="M492" s="17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6" t="n"/>
      <c r="M493" s="17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6" t="n"/>
      <c r="M494" s="17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6" t="n"/>
      <c r="M495" s="17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6" t="n"/>
      <c r="M496" s="17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6" t="n"/>
      <c r="M497" s="17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6" t="n"/>
      <c r="M498" s="17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6" t="n"/>
      <c r="M499" s="17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6" t="n"/>
      <c r="M500" s="17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6" t="n"/>
      <c r="M501" s="17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6" t="n"/>
      <c r="M502" s="17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6" t="n"/>
      <c r="M503" s="17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6" t="n"/>
      <c r="M504" s="17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6" t="n"/>
      <c r="M505" s="17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6" t="n"/>
      <c r="M506" s="17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6" t="n"/>
      <c r="M507" s="17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6" t="n"/>
      <c r="M508" s="17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6" t="n"/>
      <c r="M509" s="17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6" t="n"/>
      <c r="M510" s="17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6" t="n"/>
      <c r="M511" s="17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6" t="n"/>
      <c r="M512" s="17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6" t="n"/>
      <c r="M513" s="17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6" t="n"/>
      <c r="M514" s="17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6" t="n"/>
      <c r="M515" s="17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6" t="n"/>
      <c r="M516" s="17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6" t="n"/>
      <c r="M517" s="17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6" t="n"/>
      <c r="M518" s="17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6" t="n"/>
      <c r="M519" s="17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6" t="n"/>
      <c r="M520" s="17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6" t="n"/>
      <c r="M521" s="17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6" t="n"/>
      <c r="M522" s="17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6" t="n"/>
      <c r="M523" s="17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6" t="n"/>
      <c r="M524" s="17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6" t="n"/>
      <c r="M525" s="17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6" t="n"/>
      <c r="M526" s="17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6" t="n"/>
      <c r="M527" s="17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6" t="n"/>
      <c r="M528" s="17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6" t="n"/>
      <c r="M529" s="17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6" t="n"/>
      <c r="M530" s="17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6" t="n"/>
      <c r="M531" s="17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6" t="n"/>
      <c r="M532" s="17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6" t="n"/>
      <c r="M533" s="17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6" t="n"/>
      <c r="M534" s="17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6" t="n"/>
      <c r="M535" s="17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6" t="n"/>
      <c r="M536" s="17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6" t="n"/>
      <c r="M537" s="17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6" t="n"/>
      <c r="M538" s="17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6" t="n"/>
      <c r="M539" s="17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6" t="n"/>
      <c r="M540" s="17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6" t="n"/>
      <c r="M541" s="17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6" t="n"/>
      <c r="M542" s="17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6" t="n"/>
      <c r="M543" s="17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6" t="n"/>
      <c r="M544" s="17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6" t="n"/>
      <c r="M545" s="17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6" t="n"/>
      <c r="M546" s="17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6" t="n"/>
      <c r="M547" s="17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6" t="n"/>
      <c r="M548" s="17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6" t="n"/>
      <c r="M549" s="17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6" t="n"/>
      <c r="M550" s="17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6" t="n"/>
      <c r="M551" s="17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6" t="n"/>
      <c r="M552" s="17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6" t="n"/>
      <c r="M553" s="17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6" t="n"/>
      <c r="M554" s="17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6" t="n"/>
      <c r="M555" s="17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6" t="n"/>
      <c r="M556" s="17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6" t="n"/>
      <c r="M557" s="17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6" t="n"/>
      <c r="M558" s="17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6" t="n"/>
      <c r="M559" s="17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6" t="n"/>
      <c r="M560" s="17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6" t="n"/>
      <c r="M561" s="17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6" t="n"/>
      <c r="M562" s="17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6" t="n"/>
      <c r="M563" s="17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6" t="n"/>
      <c r="M564" s="17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6" t="n"/>
      <c r="M565" s="17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6" t="n"/>
      <c r="M566" s="17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6" t="n"/>
      <c r="M567" s="17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6" t="n"/>
      <c r="M568" s="17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6" t="n"/>
      <c r="M569" s="17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6" t="n"/>
      <c r="M570" s="17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6" t="n"/>
      <c r="M571" s="17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6" t="n"/>
      <c r="M572" s="17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6" t="n"/>
      <c r="M573" s="17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6" t="n"/>
      <c r="M574" s="17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6" t="n"/>
      <c r="M575" s="17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6" t="n"/>
      <c r="M576" s="17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6" t="n"/>
      <c r="M577" s="17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6" t="n"/>
      <c r="M578" s="17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6" t="n"/>
      <c r="M579" s="17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6" t="n"/>
      <c r="M580" s="17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6" t="n"/>
      <c r="M581" s="17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6" t="n"/>
      <c r="M582" s="17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6" t="n"/>
      <c r="M583" s="17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6" t="n"/>
      <c r="M584" s="17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6" t="n"/>
      <c r="M585" s="17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6" t="n"/>
      <c r="M586" s="17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6" t="n"/>
      <c r="M587" s="17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6" t="n"/>
      <c r="M588" s="17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6" t="n"/>
      <c r="M589" s="17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6" t="n"/>
      <c r="M590" s="17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6" t="n"/>
      <c r="M591" s="17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6" t="n"/>
      <c r="M592" s="17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6" t="n"/>
      <c r="M593" s="17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6" t="n"/>
      <c r="M594" s="17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6" t="n"/>
      <c r="M595" s="17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6" t="n"/>
      <c r="M596" s="17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6" t="n"/>
      <c r="M597" s="17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6" t="n"/>
      <c r="M598" s="17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6" t="n"/>
      <c r="M599" s="17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6" t="n"/>
      <c r="M600" s="17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6" t="n"/>
      <c r="M601" s="17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6" t="n"/>
      <c r="M602" s="17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6" t="n"/>
      <c r="M603" s="17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6" t="n"/>
      <c r="M604" s="17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6" t="n"/>
      <c r="M605" s="17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6" t="n"/>
      <c r="M606" s="17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6" t="n"/>
      <c r="M607" s="17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6" t="n"/>
      <c r="M608" s="17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6" t="n"/>
      <c r="M609" s="17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6" t="n"/>
      <c r="M610" s="17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6" t="n"/>
      <c r="M611" s="17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6" t="n"/>
      <c r="M612" s="17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6" t="n"/>
      <c r="M613" s="17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6" t="n"/>
      <c r="M614" s="17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6" t="n"/>
      <c r="M615" s="17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6" t="n"/>
      <c r="M616" s="17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6" t="n"/>
      <c r="M617" s="17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6" t="n"/>
      <c r="M618" s="17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6" t="n"/>
      <c r="M619" s="17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6" t="n"/>
      <c r="M620" s="17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6" t="n"/>
      <c r="M621" s="17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6" t="n"/>
      <c r="M622" s="17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6" t="n"/>
      <c r="M623" s="17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6" t="n"/>
      <c r="M624" s="17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6" t="n"/>
      <c r="M625" s="17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6" t="n"/>
      <c r="M626" s="17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6" t="n"/>
      <c r="M627" s="17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6" t="n"/>
      <c r="M628" s="17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6" t="n"/>
      <c r="M629" s="17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6" t="n"/>
      <c r="M630" s="17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6" t="n"/>
      <c r="M631" s="17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6" t="n"/>
      <c r="M632" s="17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6" t="n"/>
      <c r="M633" s="17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6" t="n"/>
      <c r="M634" s="17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6" t="n"/>
      <c r="M635" s="17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6" t="n"/>
      <c r="M636" s="17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6" t="n"/>
      <c r="M637" s="17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6" t="n"/>
      <c r="M638" s="17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6" t="n"/>
      <c r="M639" s="17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6" t="n"/>
      <c r="M640" s="17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6" t="n"/>
      <c r="M641" s="17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6" t="n"/>
      <c r="M642" s="17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6" t="n"/>
      <c r="M643" s="17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6" t="n"/>
      <c r="M644" s="17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6" t="n"/>
      <c r="M645" s="17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6" t="n"/>
      <c r="M646" s="17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6" t="n"/>
      <c r="M647" s="17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6" t="n"/>
      <c r="M648" s="17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6" t="n"/>
      <c r="M649" s="17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6" t="n"/>
      <c r="M650" s="17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6" t="n"/>
      <c r="M651" s="17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6" t="n"/>
      <c r="M652" s="17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6" t="n"/>
      <c r="M653" s="17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6" t="n"/>
      <c r="M654" s="17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6" t="n"/>
      <c r="M655" s="17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6" t="n"/>
      <c r="M656" s="17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6" t="n"/>
      <c r="M657" s="17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6" t="n"/>
      <c r="M658" s="17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6" t="n"/>
      <c r="M659" s="17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6" t="n"/>
      <c r="M660" s="17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6" t="n"/>
      <c r="M661" s="17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6" t="n"/>
      <c r="M662" s="17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6" t="n"/>
      <c r="M663" s="17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6" t="n"/>
      <c r="M664" s="17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6" t="n"/>
      <c r="M665" s="17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6" t="n"/>
      <c r="M666" s="17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6" t="n"/>
      <c r="M667" s="17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6" t="n"/>
      <c r="M668" s="17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6" t="n"/>
      <c r="M669" s="17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6" t="n"/>
      <c r="M670" s="17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6" t="n"/>
      <c r="M671" s="17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6" t="n"/>
      <c r="M672" s="17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6" t="n"/>
      <c r="M673" s="17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6" t="n"/>
      <c r="M674" s="17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6" t="n"/>
      <c r="M675" s="17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6" t="n"/>
      <c r="M676" s="17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6" t="n"/>
      <c r="M677" s="17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6" t="n"/>
      <c r="M678" s="17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6" t="n"/>
      <c r="M679" s="17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6" t="n"/>
      <c r="M680" s="17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6" t="n"/>
      <c r="M681" s="17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6" t="n"/>
      <c r="M682" s="17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6" t="n"/>
      <c r="M683" s="17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6" t="n"/>
      <c r="M684" s="17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6" t="n"/>
      <c r="M685" s="17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6" t="n"/>
      <c r="M686" s="17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6" t="n"/>
      <c r="M687" s="17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6" t="n"/>
      <c r="M688" s="17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6" t="n"/>
      <c r="M689" s="17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6" t="n"/>
      <c r="M690" s="17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6" t="n"/>
      <c r="M691" s="17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6" t="n"/>
      <c r="M692" s="17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6" t="n"/>
      <c r="M693" s="17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6" t="n"/>
      <c r="M694" s="17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6" t="n"/>
      <c r="M695" s="17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6" t="n"/>
      <c r="M696" s="17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6" t="n"/>
      <c r="M697" s="17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6" t="n"/>
      <c r="M698" s="17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6" t="n"/>
      <c r="M699" s="17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6" t="n"/>
      <c r="M700" s="17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6" t="n"/>
      <c r="M701" s="17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6" t="n"/>
      <c r="M702" s="17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6" t="n"/>
      <c r="M703" s="17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6" t="n"/>
      <c r="M704" s="17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6" t="n"/>
      <c r="M705" s="17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6" t="n"/>
      <c r="M706" s="17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6" t="n"/>
      <c r="M707" s="17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6" t="n"/>
      <c r="M708" s="17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6" t="n"/>
      <c r="M709" s="17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6" t="n"/>
      <c r="M710" s="17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6" t="n"/>
      <c r="M711" s="17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6" t="n"/>
      <c r="M712" s="17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6" t="n"/>
      <c r="M713" s="17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6" t="n"/>
      <c r="M714" s="17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6" t="n"/>
      <c r="M715" s="17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6" t="n"/>
      <c r="M716" s="17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6" t="n"/>
      <c r="M717" s="17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6" t="n"/>
      <c r="M718" s="17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6" t="n"/>
      <c r="M719" s="17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6" t="n"/>
      <c r="M720" s="17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6" t="n"/>
      <c r="M721" s="17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6" t="n"/>
      <c r="M722" s="17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6" t="n"/>
      <c r="M723" s="17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6" t="n"/>
      <c r="M724" s="17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6" t="n"/>
      <c r="M725" s="17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6" t="n"/>
      <c r="M726" s="17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6" t="n"/>
      <c r="M727" s="17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6" t="n"/>
      <c r="M728" s="17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6" t="n"/>
      <c r="M729" s="17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6" t="n"/>
      <c r="M730" s="17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6" t="n"/>
      <c r="M731" s="17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6" t="n"/>
      <c r="M732" s="17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6" t="n"/>
      <c r="M733" s="17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6" t="n"/>
      <c r="M734" s="17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6" t="n"/>
      <c r="M735" s="17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6" t="n"/>
      <c r="M736" s="17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6" t="n"/>
      <c r="M737" s="17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6" t="n"/>
      <c r="M738" s="17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6" t="n"/>
      <c r="M739" s="17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6" t="n"/>
      <c r="M740" s="17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6" t="n"/>
      <c r="M741" s="17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6" t="n"/>
      <c r="M742" s="17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6" t="n"/>
      <c r="M743" s="17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6" t="n"/>
      <c r="M744" s="17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6" t="n"/>
      <c r="M745" s="17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6" t="n"/>
      <c r="M746" s="17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6" t="n"/>
      <c r="M747" s="17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6" t="n"/>
      <c r="M748" s="17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6" t="n"/>
      <c r="M749" s="17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6" t="n"/>
      <c r="M750" s="17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6" t="n"/>
      <c r="M751" s="17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6" t="n"/>
      <c r="M752" s="17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6" t="n"/>
      <c r="M753" s="17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6" t="n"/>
      <c r="M754" s="17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6" t="n"/>
      <c r="M755" s="17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6" t="n"/>
      <c r="M756" s="17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6" t="n"/>
      <c r="M757" s="17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6" t="n"/>
      <c r="M758" s="17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6" t="n"/>
      <c r="M759" s="17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6" t="n"/>
      <c r="M760" s="17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6" t="n"/>
      <c r="M761" s="17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6" t="n"/>
      <c r="M762" s="17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6" t="n"/>
      <c r="M763" s="17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6" t="n"/>
      <c r="M764" s="17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6" t="n"/>
      <c r="M765" s="17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6" t="n"/>
      <c r="M766" s="17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6" t="n"/>
      <c r="M767" s="17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6" t="n"/>
      <c r="M768" s="17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6" t="n"/>
      <c r="M769" s="17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6" t="n"/>
      <c r="M770" s="17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6" t="n"/>
      <c r="M771" s="17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6" t="n"/>
      <c r="M772" s="17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6" t="n"/>
      <c r="M773" s="17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6" t="n"/>
      <c r="M774" s="17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6" t="n"/>
      <c r="M775" s="17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6" t="n"/>
      <c r="M776" s="17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6" t="n"/>
      <c r="M777" s="17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6" t="n"/>
      <c r="M778" s="17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6" t="n"/>
      <c r="M779" s="17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6" t="n"/>
      <c r="M780" s="17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6" t="n"/>
      <c r="M781" s="17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6" t="n"/>
      <c r="M782" s="17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6" t="n"/>
      <c r="M783" s="17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6" t="n"/>
      <c r="M784" s="17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6" t="n"/>
      <c r="M785" s="17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6" t="n"/>
      <c r="M786" s="17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6" t="n"/>
      <c r="M787" s="17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6" t="n"/>
      <c r="M788" s="17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6" t="n"/>
      <c r="M789" s="17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6" t="n"/>
      <c r="M790" s="17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6" t="n"/>
      <c r="M791" s="17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6" t="n"/>
      <c r="M792" s="17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6" t="n"/>
      <c r="M793" s="17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6" t="n"/>
      <c r="M794" s="17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6" t="n"/>
      <c r="M795" s="17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6" t="n"/>
      <c r="M796" s="17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6" t="n"/>
      <c r="M797" s="17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6" t="n"/>
      <c r="M798" s="17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6" t="n"/>
      <c r="M799" s="17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6" t="n"/>
      <c r="M800" s="17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6" t="n"/>
      <c r="M801" s="17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6" t="n"/>
      <c r="M802" s="17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6" t="n"/>
      <c r="M803" s="17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6" t="n"/>
      <c r="M804" s="17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6" t="n"/>
      <c r="M805" s="17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6" t="n"/>
      <c r="M806" s="17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6" t="n"/>
      <c r="M807" s="17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6" t="n"/>
      <c r="M808" s="17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6" t="n"/>
      <c r="M809" s="17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6" t="n"/>
      <c r="M810" s="17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6" t="n"/>
      <c r="M811" s="17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6" t="n"/>
      <c r="M812" s="17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6" t="n"/>
      <c r="M813" s="17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6" t="n"/>
      <c r="M814" s="17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6" t="n"/>
      <c r="M815" s="17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6" t="n"/>
      <c r="M816" s="17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6" t="n"/>
      <c r="M817" s="17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6" t="n"/>
      <c r="M818" s="17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6" t="n"/>
      <c r="M819" s="17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6" t="n"/>
      <c r="M820" s="17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6" t="n"/>
      <c r="M821" s="17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6" t="n"/>
      <c r="M822" s="17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6" t="n"/>
      <c r="M823" s="17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6" t="n"/>
      <c r="M824" s="17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6" t="n"/>
      <c r="M825" s="17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6" t="n"/>
      <c r="M826" s="17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6" t="n"/>
      <c r="M827" s="17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6" t="n"/>
      <c r="M828" s="17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6" t="n"/>
      <c r="M829" s="17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6" t="n"/>
      <c r="M830" s="17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6" t="n"/>
      <c r="M831" s="17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6" t="n"/>
      <c r="M832" s="17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6" t="n"/>
      <c r="M833" s="17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6" t="n"/>
      <c r="M834" s="17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6" t="n"/>
      <c r="M835" s="17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6" t="n"/>
      <c r="M836" s="17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6" t="n"/>
      <c r="M837" s="17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6" t="n"/>
      <c r="M838" s="17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6" t="n"/>
      <c r="M839" s="17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6" t="n"/>
      <c r="M840" s="17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6" t="n"/>
      <c r="M841" s="17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6" t="n"/>
      <c r="M842" s="17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6" t="n"/>
      <c r="M843" s="17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6" t="n"/>
      <c r="M844" s="17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6" t="n"/>
      <c r="M845" s="17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6" t="n"/>
      <c r="M846" s="17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6" t="n"/>
      <c r="M847" s="17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6" t="n"/>
      <c r="M848" s="17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6" t="n"/>
      <c r="M849" s="17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6" t="n"/>
      <c r="M850" s="17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6" t="n"/>
      <c r="M851" s="17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6" t="n"/>
      <c r="M852" s="17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6" t="n"/>
      <c r="M853" s="17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6" t="n"/>
      <c r="M854" s="17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6" t="n"/>
      <c r="M855" s="17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6" t="n"/>
      <c r="M856" s="17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6" t="n"/>
      <c r="M857" s="17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6" t="n"/>
      <c r="M858" s="17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6" t="n"/>
      <c r="M859" s="17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6" t="n"/>
      <c r="M860" s="17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6" t="n"/>
      <c r="M861" s="17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6" t="n"/>
      <c r="M862" s="17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6" t="n"/>
      <c r="M863" s="17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6" t="n"/>
      <c r="M864" s="17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6" t="n"/>
      <c r="M865" s="17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6" t="n"/>
      <c r="M866" s="17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6" t="n"/>
      <c r="M867" s="17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6" t="n"/>
      <c r="M868" s="17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6" t="n"/>
      <c r="M869" s="17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6" t="n"/>
      <c r="M870" s="17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6" t="n"/>
      <c r="M871" s="17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6" t="n"/>
      <c r="M872" s="17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6" t="n"/>
      <c r="M873" s="17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6" t="n"/>
      <c r="M874" s="17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6" t="n"/>
      <c r="M875" s="17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6" t="n"/>
      <c r="M876" s="17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6" t="n"/>
      <c r="M877" s="17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6" t="n"/>
      <c r="M878" s="17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6" t="n"/>
      <c r="M879" s="17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6" t="n"/>
      <c r="M880" s="17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6" t="n"/>
      <c r="M881" s="17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6" t="n"/>
      <c r="M882" s="17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6" t="n"/>
      <c r="M883" s="17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6" t="n"/>
      <c r="M884" s="17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6" t="n"/>
      <c r="M885" s="17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6" t="n"/>
      <c r="M886" s="17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6" t="n"/>
      <c r="M887" s="17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6" t="n"/>
      <c r="M888" s="17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6" t="n"/>
      <c r="M889" s="17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6" t="n"/>
      <c r="M890" s="17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6" t="n"/>
      <c r="M891" s="17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6" t="n"/>
      <c r="M892" s="17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6" t="n"/>
      <c r="M893" s="17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6" t="n"/>
      <c r="M894" s="17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6" t="n"/>
      <c r="M895" s="17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6" t="n"/>
      <c r="M896" s="17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6" t="n"/>
      <c r="M897" s="17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6" t="n"/>
      <c r="M898" s="17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6" t="n"/>
      <c r="M899" s="17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6" t="n"/>
      <c r="M900" s="17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6" t="n"/>
      <c r="M901" s="17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6" t="n"/>
      <c r="M902" s="17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6" t="n"/>
      <c r="M903" s="17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6" t="n"/>
      <c r="M904" s="17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6" t="n"/>
      <c r="M905" s="17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6" t="n"/>
      <c r="M906" s="17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6" t="n"/>
      <c r="M907" s="17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6" t="n"/>
      <c r="M908" s="17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6" t="n"/>
      <c r="M909" s="17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6" t="n"/>
      <c r="M910" s="17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6" t="n"/>
      <c r="M911" s="17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6" t="n"/>
      <c r="M912" s="17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6" t="n"/>
      <c r="M913" s="17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6" t="n"/>
      <c r="M914" s="17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6" t="n"/>
      <c r="M915" s="17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6" t="n"/>
      <c r="M916" s="17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6" t="n"/>
      <c r="M917" s="17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6" t="n"/>
      <c r="M918" s="17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6" t="n"/>
      <c r="M919" s="17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6" t="n"/>
      <c r="M920" s="17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6" t="n"/>
      <c r="M921" s="17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6" t="n"/>
      <c r="M922" s="17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6" t="n"/>
      <c r="M923" s="17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6" t="n"/>
      <c r="M924" s="17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6" t="n"/>
      <c r="M925" s="17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6" t="n"/>
      <c r="M926" s="17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6" t="n"/>
      <c r="M927" s="17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6" t="n"/>
      <c r="M928" s="17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6" t="n"/>
      <c r="M929" s="17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6" t="n"/>
      <c r="M930" s="17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6" t="n"/>
      <c r="M931" s="17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6" t="n"/>
      <c r="M932" s="17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6" t="n"/>
      <c r="M933" s="17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6" t="n"/>
      <c r="M934" s="17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6" t="n"/>
      <c r="M935" s="17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6" t="n"/>
      <c r="M936" s="17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6" t="n"/>
      <c r="M937" s="17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6" t="n"/>
      <c r="M938" s="17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6" t="n"/>
      <c r="M939" s="17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6" t="n"/>
      <c r="M940" s="17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6" t="n"/>
      <c r="M941" s="17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6" t="n"/>
      <c r="M942" s="17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6" t="n"/>
      <c r="M943" s="17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6" t="n"/>
      <c r="M944" s="17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6" t="n"/>
      <c r="M945" s="17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6" t="n"/>
      <c r="M946" s="17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6" t="n"/>
      <c r="M947" s="17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6" t="n"/>
      <c r="M948" s="17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6" t="n"/>
      <c r="M949" s="17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6" t="n"/>
      <c r="M950" s="17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6" t="n"/>
      <c r="M951" s="17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6" t="n"/>
      <c r="M952" s="17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6" t="n"/>
      <c r="M953" s="17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6" t="n"/>
      <c r="M954" s="17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6" t="n"/>
      <c r="M955" s="17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6" t="n"/>
      <c r="M956" s="17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6" t="n"/>
      <c r="M957" s="17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6" t="n"/>
      <c r="M958" s="17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6" t="n"/>
      <c r="M959" s="17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6" t="n"/>
      <c r="M960" s="17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6" t="n"/>
      <c r="M961" s="17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6" t="n"/>
      <c r="M962" s="17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6" t="n"/>
      <c r="M963" s="17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6" t="n"/>
      <c r="M964" s="17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6" t="n"/>
      <c r="M965" s="17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6" t="n"/>
      <c r="M966" s="17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6" t="n"/>
      <c r="M967" s="17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6" t="n"/>
      <c r="M968" s="17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6" t="n"/>
      <c r="M969" s="17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6" t="n"/>
      <c r="M970" s="17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6" t="n"/>
      <c r="M971" s="17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6" t="n"/>
      <c r="M972" s="17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6" t="n"/>
      <c r="M973" s="17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6" t="n"/>
      <c r="M974" s="17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6" t="n"/>
      <c r="M975" s="17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6" t="n"/>
      <c r="M976" s="17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6" t="n"/>
      <c r="M977" s="17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6" t="n"/>
      <c r="M978" s="17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6" t="n"/>
      <c r="M979" s="17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6" t="n"/>
      <c r="M980" s="17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6" t="n"/>
      <c r="M981" s="17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6" t="n"/>
      <c r="M982" s="17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6" t="n"/>
      <c r="M983" s="17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6" t="n"/>
      <c r="M984" s="17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6" t="n"/>
      <c r="M985" s="17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6" t="n"/>
      <c r="M986" s="17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6" t="n"/>
      <c r="M987" s="17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6" t="n"/>
      <c r="M988" s="17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6" t="n"/>
      <c r="M989" s="17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6" t="n"/>
      <c r="M990" s="17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6" t="n"/>
      <c r="M991" s="17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6" t="n"/>
      <c r="M992" s="17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6" t="n"/>
      <c r="M993" s="17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6" t="n"/>
      <c r="M994" s="17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6" t="n"/>
      <c r="M995" s="17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6" t="n"/>
      <c r="M996" s="17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6" t="n"/>
      <c r="M997" s="17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6" t="n"/>
      <c r="M998" s="17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6" t="n"/>
      <c r="M999" s="17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6" t="n"/>
      <c r="M1000" s="17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6" t="n"/>
      <c r="M1001" s="17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6" t="n"/>
      <c r="M1002" s="17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  <c r="L1003" s="16" t="n"/>
      <c r="M1003" s="17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6" t="n"/>
      <c r="M1004" s="17" t="n"/>
    </row>
  </sheetData>
  <conditionalFormatting sqref="I5:I100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"Can't tell"</formula>
    </cfRule>
  </conditionalFormatting>
  <dataValidations count="3">
    <dataValidation sqref="I4:I1004" showDropDown="0" showInputMessage="0" showErrorMessage="0" allowBlank="1" type="list">
      <formula1>"Pass,Fail,Can't tell"</formula1>
    </dataValidation>
    <dataValidation sqref="H4:H1004" showDropDown="0" showInputMessage="0" showErrorMessage="0" allowBlank="1" type="list">
      <formula1>"Fresh worktree,claude plugin eval"</formula1>
    </dataValidation>
    <dataValidation sqref="A5:A1004" showDropDown="0" showInputMessage="0" showErrorMessage="0" allowBlank="1" type="list">
      <formula1>'Eval Cases'!$A$5:$A$104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2" customWidth="1" min="4" max="4"/>
    <col width="22" customWidth="1" min="5" max="5"/>
    <col width="12" customWidth="1" min="6" max="6"/>
    <col width="9" customWidth="1" min="7" max="7"/>
    <col width="12" customWidth="1" min="8" max="8"/>
    <col width="52" customWidth="1" min="9" max="9"/>
    <col width="18" customWidth="1" min="11" max="11"/>
  </cols>
  <sheetData>
    <row r="1">
      <c r="A1" s="9" t="inlineStr">
        <is>
          <t>Calibration</t>
        </is>
      </c>
    </row>
    <row r="2">
      <c r="A2" s="2" t="inlineStr">
        <is>
          <t>Two graders grade each output independently. Agreement means both gave the same verdict and neither chose Can't tell.</t>
        </is>
      </c>
    </row>
    <row r="3" ht="42" customHeight="1">
      <c r="A3" s="10" t="inlineStr">
        <is>
          <t>Case ID</t>
        </is>
      </c>
      <c r="B3" s="10" t="inlineStr">
        <is>
          <t>Output graded</t>
        </is>
      </c>
      <c r="C3" s="10" t="inlineStr">
        <is>
          <t>Grader A (role)</t>
        </is>
      </c>
      <c r="D3" s="10" t="inlineStr">
        <is>
          <t>Grader A verdict</t>
        </is>
      </c>
      <c r="E3" s="10" t="inlineStr">
        <is>
          <t>Grader B (role)</t>
        </is>
      </c>
      <c r="F3" s="10" t="inlineStr">
        <is>
          <t>Grader B verdict</t>
        </is>
      </c>
      <c r="G3" s="10" t="inlineStr">
        <is>
          <t>Agree?</t>
        </is>
      </c>
      <c r="H3" s="10" t="inlineStr">
        <is>
          <t>Both domain experts?</t>
        </is>
      </c>
      <c r="I3" s="10" t="inlineStr">
        <is>
          <t>How the case was rewritten</t>
        </is>
      </c>
      <c r="K3" s="18" t="inlineStr">
        <is>
          <t>Agreement rate</t>
        </is>
      </c>
    </row>
    <row r="4">
      <c r="A4" s="11" t="inlineStr">
        <is>
          <t>EX-01</t>
        </is>
      </c>
      <c r="B4" s="11" t="inlineStr">
        <is>
          <t>Weak</t>
        </is>
      </c>
      <c r="C4" s="11" t="inlineStr">
        <is>
          <t>Backend lead</t>
        </is>
      </c>
      <c r="D4" s="11" t="inlineStr">
        <is>
          <t>Pass</t>
        </is>
      </c>
      <c r="E4" s="11" t="inlineStr">
        <is>
          <t>Staff engineer</t>
        </is>
      </c>
      <c r="F4" s="11" t="inlineStr">
        <is>
          <t>Fail</t>
        </is>
      </c>
      <c r="G4" s="11">
        <f>IF(OR(D4="",F4=""),"",IF(AND(D4=F4,D4&lt;&gt;"Can't tell"),"Yes","No"))</f>
        <v/>
      </c>
      <c r="H4" s="11" t="inlineStr">
        <is>
          <t>Yes</t>
        </is>
      </c>
      <c r="I4" s="11" t="inlineStr">
        <is>
          <t>Clarified that the fix must keep the response schema</t>
        </is>
      </c>
      <c r="K4" s="19">
        <f>IF(COUNTIF(G5:G104,"Yes")+COUNTIF(G5:G104,"No")=0,"",COUNTIF(G5:G104,"Yes")/(COUNTIF(G5:G104,"Yes")+COUNTIF(G5:G104,"No")))</f>
        <v/>
      </c>
    </row>
    <row r="5">
      <c r="A5" s="12" t="n"/>
      <c r="B5" s="12" t="n"/>
      <c r="C5" s="12" t="n"/>
      <c r="D5" s="12" t="n"/>
      <c r="E5" s="12" t="n"/>
      <c r="F5" s="12" t="n"/>
      <c r="G5" s="13">
        <f>IF(OR(D5="",F5=""),"",IF(AND(D5=F5,D5&lt;&gt;"Can't tell"),"Yes","No"))</f>
        <v/>
      </c>
      <c r="H5" s="12" t="n"/>
      <c r="I5" s="12" t="n"/>
      <c r="K5" s="20" t="inlineStr">
        <is>
          <t>Excludes the example row.</t>
        </is>
      </c>
    </row>
    <row r="6">
      <c r="A6" s="12" t="n"/>
      <c r="B6" s="12" t="n"/>
      <c r="C6" s="12" t="n"/>
      <c r="D6" s="12" t="n"/>
      <c r="E6" s="12" t="n"/>
      <c r="F6" s="12" t="n"/>
      <c r="G6" s="13">
        <f>IF(OR(D6="",F6=""),"",IF(AND(D6=F6,D6&lt;&gt;"Can't tell"),"Yes","No"))</f>
        <v/>
      </c>
      <c r="H6" s="12" t="n"/>
      <c r="I6" s="12" t="n"/>
    </row>
    <row r="7">
      <c r="A7" s="12" t="n"/>
      <c r="B7" s="12" t="n"/>
      <c r="C7" s="12" t="n"/>
      <c r="D7" s="12" t="n"/>
      <c r="E7" s="12" t="n"/>
      <c r="F7" s="12" t="n"/>
      <c r="G7" s="13">
        <f>IF(OR(D7="",F7=""),"",IF(AND(D7=F7,D7&lt;&gt;"Can't tell"),"Yes","No"))</f>
        <v/>
      </c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3">
        <f>IF(OR(D8="",F8=""),"",IF(AND(D8=F8,D8&lt;&gt;"Can't tell"),"Yes","No"))</f>
        <v/>
      </c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3">
        <f>IF(OR(D9="",F9=""),"",IF(AND(D9=F9,D9&lt;&gt;"Can't tell"),"Yes","No"))</f>
        <v/>
      </c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3">
        <f>IF(OR(D10="",F10=""),"",IF(AND(D10=F10,D10&lt;&gt;"Can't tell"),"Yes","No"))</f>
        <v/>
      </c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3">
        <f>IF(OR(D11="",F11=""),"",IF(AND(D11=F11,D11&lt;&gt;"Can't tell"),"Yes","No"))</f>
        <v/>
      </c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3">
        <f>IF(OR(D12="",F12=""),"",IF(AND(D12=F12,D12&lt;&gt;"Can't tell"),"Yes","No"))</f>
        <v/>
      </c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3">
        <f>IF(OR(D13="",F13=""),"",IF(AND(D13=F13,D13&lt;&gt;"Can't tell"),"Yes","No"))</f>
        <v/>
      </c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3">
        <f>IF(OR(D14="",F14=""),"",IF(AND(D14=F14,D14&lt;&gt;"Can't tell"),"Yes","No"))</f>
        <v/>
      </c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3">
        <f>IF(OR(D15="",F15=""),"",IF(AND(D15=F15,D15&lt;&gt;"Can't tell"),"Yes","No"))</f>
        <v/>
      </c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3">
        <f>IF(OR(D16="",F16=""),"",IF(AND(D16=F16,D16&lt;&gt;"Can't tell"),"Yes","No"))</f>
        <v/>
      </c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3">
        <f>IF(OR(D17="",F17=""),"",IF(AND(D17=F17,D17&lt;&gt;"Can't tell"),"Yes","No"))</f>
        <v/>
      </c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3">
        <f>IF(OR(D18="",F18=""),"",IF(AND(D18=F18,D18&lt;&gt;"Can't tell"),"Yes","No"))</f>
        <v/>
      </c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3">
        <f>IF(OR(D19="",F19=""),"",IF(AND(D19=F19,D19&lt;&gt;"Can't tell"),"Yes","No"))</f>
        <v/>
      </c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3">
        <f>IF(OR(D20="",F20=""),"",IF(AND(D20=F20,D20&lt;&gt;"Can't tell"),"Yes","No"))</f>
        <v/>
      </c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3">
        <f>IF(OR(D21="",F21=""),"",IF(AND(D21=F21,D21&lt;&gt;"Can't tell"),"Yes","No"))</f>
        <v/>
      </c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3">
        <f>IF(OR(D22="",F22=""),"",IF(AND(D22=F22,D22&lt;&gt;"Can't tell"),"Yes","No"))</f>
        <v/>
      </c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3">
        <f>IF(OR(D23="",F23=""),"",IF(AND(D23=F23,D23&lt;&gt;"Can't tell"),"Yes","No"))</f>
        <v/>
      </c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3">
        <f>IF(OR(D24="",F24=""),"",IF(AND(D24=F24,D24&lt;&gt;"Can't tell"),"Yes","No"))</f>
        <v/>
      </c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3">
        <f>IF(OR(D25="",F25=""),"",IF(AND(D25=F25,D25&lt;&gt;"Can't tell"),"Yes","No"))</f>
        <v/>
      </c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3">
        <f>IF(OR(D26="",F26=""),"",IF(AND(D26=F26,D26&lt;&gt;"Can't tell"),"Yes","No"))</f>
        <v/>
      </c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3">
        <f>IF(OR(D27="",F27=""),"",IF(AND(D27=F27,D27&lt;&gt;"Can't tell"),"Yes","No"))</f>
        <v/>
      </c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3">
        <f>IF(OR(D28="",F28=""),"",IF(AND(D28=F28,D28&lt;&gt;"Can't tell"),"Yes","No"))</f>
        <v/>
      </c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3">
        <f>IF(OR(D29="",F29=""),"",IF(AND(D29=F29,D29&lt;&gt;"Can't tell"),"Yes","No"))</f>
        <v/>
      </c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3">
        <f>IF(OR(D30="",F30=""),"",IF(AND(D30=F30,D30&lt;&gt;"Can't tell"),"Yes","No"))</f>
        <v/>
      </c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3">
        <f>IF(OR(D31="",F31=""),"",IF(AND(D31=F31,D31&lt;&gt;"Can't tell"),"Yes","No"))</f>
        <v/>
      </c>
      <c r="H31" s="12" t="n"/>
      <c r="I31" s="12" t="n"/>
    </row>
    <row r="32">
      <c r="A32" s="12" t="n"/>
      <c r="B32" s="12" t="n"/>
      <c r="C32" s="12" t="n"/>
      <c r="D32" s="12" t="n"/>
      <c r="E32" s="12" t="n"/>
      <c r="F32" s="12" t="n"/>
      <c r="G32" s="13">
        <f>IF(OR(D32="",F32=""),"",IF(AND(D32=F32,D32&lt;&gt;"Can't tell"),"Yes","No"))</f>
        <v/>
      </c>
      <c r="H32" s="12" t="n"/>
      <c r="I32" s="12" t="n"/>
    </row>
    <row r="33">
      <c r="A33" s="12" t="n"/>
      <c r="B33" s="12" t="n"/>
      <c r="C33" s="12" t="n"/>
      <c r="D33" s="12" t="n"/>
      <c r="E33" s="12" t="n"/>
      <c r="F33" s="12" t="n"/>
      <c r="G33" s="13">
        <f>IF(OR(D33="",F33=""),"",IF(AND(D33=F33,D33&lt;&gt;"Can't tell"),"Yes","No"))</f>
        <v/>
      </c>
      <c r="H33" s="12" t="n"/>
      <c r="I33" s="12" t="n"/>
    </row>
    <row r="34">
      <c r="A34" s="12" t="n"/>
      <c r="B34" s="12" t="n"/>
      <c r="C34" s="12" t="n"/>
      <c r="D34" s="12" t="n"/>
      <c r="E34" s="12" t="n"/>
      <c r="F34" s="12" t="n"/>
      <c r="G34" s="13">
        <f>IF(OR(D34="",F34=""),"",IF(AND(D34=F34,D34&lt;&gt;"Can't tell"),"Yes","No"))</f>
        <v/>
      </c>
      <c r="H34" s="12" t="n"/>
      <c r="I34" s="12" t="n"/>
    </row>
    <row r="35">
      <c r="A35" s="12" t="n"/>
      <c r="B35" s="12" t="n"/>
      <c r="C35" s="12" t="n"/>
      <c r="D35" s="12" t="n"/>
      <c r="E35" s="12" t="n"/>
      <c r="F35" s="12" t="n"/>
      <c r="G35" s="13">
        <f>IF(OR(D35="",F35=""),"",IF(AND(D35=F35,D35&lt;&gt;"Can't tell"),"Yes","No"))</f>
        <v/>
      </c>
      <c r="H35" s="12" t="n"/>
      <c r="I35" s="12" t="n"/>
    </row>
    <row r="36">
      <c r="A36" s="12" t="n"/>
      <c r="B36" s="12" t="n"/>
      <c r="C36" s="12" t="n"/>
      <c r="D36" s="12" t="n"/>
      <c r="E36" s="12" t="n"/>
      <c r="F36" s="12" t="n"/>
      <c r="G36" s="13">
        <f>IF(OR(D36="",F36=""),"",IF(AND(D36=F36,D36&lt;&gt;"Can't tell"),"Yes","No"))</f>
        <v/>
      </c>
      <c r="H36" s="12" t="n"/>
      <c r="I36" s="12" t="n"/>
    </row>
    <row r="37">
      <c r="A37" s="12" t="n"/>
      <c r="B37" s="12" t="n"/>
      <c r="C37" s="12" t="n"/>
      <c r="D37" s="12" t="n"/>
      <c r="E37" s="12" t="n"/>
      <c r="F37" s="12" t="n"/>
      <c r="G37" s="13">
        <f>IF(OR(D37="",F37=""),"",IF(AND(D37=F37,D37&lt;&gt;"Can't tell"),"Yes","No"))</f>
        <v/>
      </c>
      <c r="H37" s="12" t="n"/>
      <c r="I37" s="12" t="n"/>
    </row>
    <row r="38">
      <c r="A38" s="12" t="n"/>
      <c r="B38" s="12" t="n"/>
      <c r="C38" s="12" t="n"/>
      <c r="D38" s="12" t="n"/>
      <c r="E38" s="12" t="n"/>
      <c r="F38" s="12" t="n"/>
      <c r="G38" s="13">
        <f>IF(OR(D38="",F38=""),"",IF(AND(D38=F38,D38&lt;&gt;"Can't tell"),"Yes","No"))</f>
        <v/>
      </c>
      <c r="H38" s="12" t="n"/>
      <c r="I38" s="12" t="n"/>
    </row>
    <row r="39">
      <c r="A39" s="12" t="n"/>
      <c r="B39" s="12" t="n"/>
      <c r="C39" s="12" t="n"/>
      <c r="D39" s="12" t="n"/>
      <c r="E39" s="12" t="n"/>
      <c r="F39" s="12" t="n"/>
      <c r="G39" s="13">
        <f>IF(OR(D39="",F39=""),"",IF(AND(D39=F39,D39&lt;&gt;"Can't tell"),"Yes","No"))</f>
        <v/>
      </c>
      <c r="H39" s="12" t="n"/>
      <c r="I39" s="12" t="n"/>
    </row>
    <row r="40">
      <c r="A40" s="12" t="n"/>
      <c r="B40" s="12" t="n"/>
      <c r="C40" s="12" t="n"/>
      <c r="D40" s="12" t="n"/>
      <c r="E40" s="12" t="n"/>
      <c r="F40" s="12" t="n"/>
      <c r="G40" s="13">
        <f>IF(OR(D40="",F40=""),"",IF(AND(D40=F40,D40&lt;&gt;"Can't tell"),"Yes","No"))</f>
        <v/>
      </c>
      <c r="H40" s="12" t="n"/>
      <c r="I40" s="12" t="n"/>
    </row>
    <row r="41">
      <c r="A41" s="12" t="n"/>
      <c r="B41" s="12" t="n"/>
      <c r="C41" s="12" t="n"/>
      <c r="D41" s="12" t="n"/>
      <c r="E41" s="12" t="n"/>
      <c r="F41" s="12" t="n"/>
      <c r="G41" s="13">
        <f>IF(OR(D41="",F41=""),"",IF(AND(D41=F41,D41&lt;&gt;"Can't tell"),"Yes","No"))</f>
        <v/>
      </c>
      <c r="H41" s="12" t="n"/>
      <c r="I41" s="12" t="n"/>
    </row>
    <row r="42">
      <c r="A42" s="12" t="n"/>
      <c r="B42" s="12" t="n"/>
      <c r="C42" s="12" t="n"/>
      <c r="D42" s="12" t="n"/>
      <c r="E42" s="12" t="n"/>
      <c r="F42" s="12" t="n"/>
      <c r="G42" s="13">
        <f>IF(OR(D42="",F42=""),"",IF(AND(D42=F42,D42&lt;&gt;"Can't tell"),"Yes","No"))</f>
        <v/>
      </c>
      <c r="H42" s="12" t="n"/>
      <c r="I42" s="12" t="n"/>
    </row>
    <row r="43">
      <c r="A43" s="12" t="n"/>
      <c r="B43" s="12" t="n"/>
      <c r="C43" s="12" t="n"/>
      <c r="D43" s="12" t="n"/>
      <c r="E43" s="12" t="n"/>
      <c r="F43" s="12" t="n"/>
      <c r="G43" s="13">
        <f>IF(OR(D43="",F43=""),"",IF(AND(D43=F43,D43&lt;&gt;"Can't tell"),"Yes","No"))</f>
        <v/>
      </c>
      <c r="H43" s="12" t="n"/>
      <c r="I43" s="12" t="n"/>
    </row>
    <row r="44">
      <c r="A44" s="12" t="n"/>
      <c r="B44" s="12" t="n"/>
      <c r="C44" s="12" t="n"/>
      <c r="D44" s="12" t="n"/>
      <c r="E44" s="12" t="n"/>
      <c r="F44" s="12" t="n"/>
      <c r="G44" s="13">
        <f>IF(OR(D44="",F44=""),"",IF(AND(D44=F44,D44&lt;&gt;"Can't tell"),"Yes","No"))</f>
        <v/>
      </c>
      <c r="H44" s="12" t="n"/>
      <c r="I44" s="12" t="n"/>
    </row>
    <row r="45">
      <c r="A45" s="12" t="n"/>
      <c r="B45" s="12" t="n"/>
      <c r="C45" s="12" t="n"/>
      <c r="D45" s="12" t="n"/>
      <c r="E45" s="12" t="n"/>
      <c r="F45" s="12" t="n"/>
      <c r="G45" s="13">
        <f>IF(OR(D45="",F45=""),"",IF(AND(D45=F45,D45&lt;&gt;"Can't tell"),"Yes","No"))</f>
        <v/>
      </c>
      <c r="H45" s="12" t="n"/>
      <c r="I45" s="12" t="n"/>
    </row>
    <row r="46">
      <c r="A46" s="12" t="n"/>
      <c r="B46" s="12" t="n"/>
      <c r="C46" s="12" t="n"/>
      <c r="D46" s="12" t="n"/>
      <c r="E46" s="12" t="n"/>
      <c r="F46" s="12" t="n"/>
      <c r="G46" s="13">
        <f>IF(OR(D46="",F46=""),"",IF(AND(D46=F46,D46&lt;&gt;"Can't tell"),"Yes","No"))</f>
        <v/>
      </c>
      <c r="H46" s="12" t="n"/>
      <c r="I46" s="12" t="n"/>
    </row>
    <row r="47">
      <c r="A47" s="12" t="n"/>
      <c r="B47" s="12" t="n"/>
      <c r="C47" s="12" t="n"/>
      <c r="D47" s="12" t="n"/>
      <c r="E47" s="12" t="n"/>
      <c r="F47" s="12" t="n"/>
      <c r="G47" s="13">
        <f>IF(OR(D47="",F47=""),"",IF(AND(D47=F47,D47&lt;&gt;"Can't tell"),"Yes","No"))</f>
        <v/>
      </c>
      <c r="H47" s="12" t="n"/>
      <c r="I47" s="12" t="n"/>
    </row>
    <row r="48">
      <c r="A48" s="12" t="n"/>
      <c r="B48" s="12" t="n"/>
      <c r="C48" s="12" t="n"/>
      <c r="D48" s="12" t="n"/>
      <c r="E48" s="12" t="n"/>
      <c r="F48" s="12" t="n"/>
      <c r="G48" s="13">
        <f>IF(OR(D48="",F48=""),"",IF(AND(D48=F48,D48&lt;&gt;"Can't tell"),"Yes","No"))</f>
        <v/>
      </c>
      <c r="H48" s="12" t="n"/>
      <c r="I48" s="12" t="n"/>
    </row>
    <row r="49">
      <c r="A49" s="12" t="n"/>
      <c r="B49" s="12" t="n"/>
      <c r="C49" s="12" t="n"/>
      <c r="D49" s="12" t="n"/>
      <c r="E49" s="12" t="n"/>
      <c r="F49" s="12" t="n"/>
      <c r="G49" s="13">
        <f>IF(OR(D49="",F49=""),"",IF(AND(D49=F49,D49&lt;&gt;"Can't tell"),"Yes","No"))</f>
        <v/>
      </c>
      <c r="H49" s="12" t="n"/>
      <c r="I49" s="12" t="n"/>
    </row>
    <row r="50">
      <c r="A50" s="12" t="n"/>
      <c r="B50" s="12" t="n"/>
      <c r="C50" s="12" t="n"/>
      <c r="D50" s="12" t="n"/>
      <c r="E50" s="12" t="n"/>
      <c r="F50" s="12" t="n"/>
      <c r="G50" s="13">
        <f>IF(OR(D50="",F50=""),"",IF(AND(D50=F50,D50&lt;&gt;"Can't tell"),"Yes","No"))</f>
        <v/>
      </c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3">
        <f>IF(OR(D51="",F51=""),"",IF(AND(D51=F51,D51&lt;&gt;"Can't tell"),"Yes","No"))</f>
        <v/>
      </c>
      <c r="H51" s="12" t="n"/>
      <c r="I51" s="12" t="n"/>
    </row>
    <row r="52">
      <c r="A52" s="12" t="n"/>
      <c r="B52" s="12" t="n"/>
      <c r="C52" s="12" t="n"/>
      <c r="D52" s="12" t="n"/>
      <c r="E52" s="12" t="n"/>
      <c r="F52" s="12" t="n"/>
      <c r="G52" s="13">
        <f>IF(OR(D52="",F52=""),"",IF(AND(D52=F52,D52&lt;&gt;"Can't tell"),"Yes","No"))</f>
        <v/>
      </c>
      <c r="H52" s="12" t="n"/>
      <c r="I52" s="12" t="n"/>
    </row>
    <row r="53">
      <c r="A53" s="12" t="n"/>
      <c r="B53" s="12" t="n"/>
      <c r="C53" s="12" t="n"/>
      <c r="D53" s="12" t="n"/>
      <c r="E53" s="12" t="n"/>
      <c r="F53" s="12" t="n"/>
      <c r="G53" s="13">
        <f>IF(OR(D53="",F53=""),"",IF(AND(D53=F53,D53&lt;&gt;"Can't tell"),"Yes","No"))</f>
        <v/>
      </c>
      <c r="H53" s="12" t="n"/>
      <c r="I53" s="12" t="n"/>
    </row>
    <row r="54">
      <c r="A54" s="12" t="n"/>
      <c r="B54" s="12" t="n"/>
      <c r="C54" s="12" t="n"/>
      <c r="D54" s="12" t="n"/>
      <c r="E54" s="12" t="n"/>
      <c r="F54" s="12" t="n"/>
      <c r="G54" s="13">
        <f>IF(OR(D54="",F54=""),"",IF(AND(D54=F54,D54&lt;&gt;"Can't tell"),"Yes","No"))</f>
        <v/>
      </c>
      <c r="H54" s="12" t="n"/>
      <c r="I54" s="12" t="n"/>
    </row>
    <row r="55">
      <c r="A55" s="12" t="n"/>
      <c r="B55" s="12" t="n"/>
      <c r="C55" s="12" t="n"/>
      <c r="D55" s="12" t="n"/>
      <c r="E55" s="12" t="n"/>
      <c r="F55" s="12" t="n"/>
      <c r="G55" s="13">
        <f>IF(OR(D55="",F55=""),"",IF(AND(D55=F55,D55&lt;&gt;"Can't tell"),"Yes","No"))</f>
        <v/>
      </c>
      <c r="H55" s="12" t="n"/>
      <c r="I55" s="12" t="n"/>
    </row>
    <row r="56">
      <c r="A56" s="12" t="n"/>
      <c r="B56" s="12" t="n"/>
      <c r="C56" s="12" t="n"/>
      <c r="D56" s="12" t="n"/>
      <c r="E56" s="12" t="n"/>
      <c r="F56" s="12" t="n"/>
      <c r="G56" s="13">
        <f>IF(OR(D56="",F56=""),"",IF(AND(D56=F56,D56&lt;&gt;"Can't tell"),"Yes","No"))</f>
        <v/>
      </c>
      <c r="H56" s="12" t="n"/>
      <c r="I56" s="12" t="n"/>
    </row>
    <row r="57">
      <c r="A57" s="12" t="n"/>
      <c r="B57" s="12" t="n"/>
      <c r="C57" s="12" t="n"/>
      <c r="D57" s="12" t="n"/>
      <c r="E57" s="12" t="n"/>
      <c r="F57" s="12" t="n"/>
      <c r="G57" s="13">
        <f>IF(OR(D57="",F57=""),"",IF(AND(D57=F57,D57&lt;&gt;"Can't tell"),"Yes","No"))</f>
        <v/>
      </c>
      <c r="H57" s="12" t="n"/>
      <c r="I57" s="12" t="n"/>
    </row>
    <row r="58">
      <c r="A58" s="12" t="n"/>
      <c r="B58" s="12" t="n"/>
      <c r="C58" s="12" t="n"/>
      <c r="D58" s="12" t="n"/>
      <c r="E58" s="12" t="n"/>
      <c r="F58" s="12" t="n"/>
      <c r="G58" s="13">
        <f>IF(OR(D58="",F58=""),"",IF(AND(D58=F58,D58&lt;&gt;"Can't tell"),"Yes","No"))</f>
        <v/>
      </c>
      <c r="H58" s="12" t="n"/>
      <c r="I58" s="12" t="n"/>
    </row>
    <row r="59">
      <c r="A59" s="12" t="n"/>
      <c r="B59" s="12" t="n"/>
      <c r="C59" s="12" t="n"/>
      <c r="D59" s="12" t="n"/>
      <c r="E59" s="12" t="n"/>
      <c r="F59" s="12" t="n"/>
      <c r="G59" s="13">
        <f>IF(OR(D59="",F59=""),"",IF(AND(D59=F59,D59&lt;&gt;"Can't tell"),"Yes","No"))</f>
        <v/>
      </c>
      <c r="H59" s="12" t="n"/>
      <c r="I59" s="12" t="n"/>
    </row>
    <row r="60">
      <c r="A60" s="12" t="n"/>
      <c r="B60" s="12" t="n"/>
      <c r="C60" s="12" t="n"/>
      <c r="D60" s="12" t="n"/>
      <c r="E60" s="12" t="n"/>
      <c r="F60" s="12" t="n"/>
      <c r="G60" s="13">
        <f>IF(OR(D60="",F60=""),"",IF(AND(D60=F60,D60&lt;&gt;"Can't tell"),"Yes","No"))</f>
        <v/>
      </c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3">
        <f>IF(OR(D61="",F61=""),"",IF(AND(D61=F61,D61&lt;&gt;"Can't tell"),"Yes","No"))</f>
        <v/>
      </c>
      <c r="H61" s="12" t="n"/>
      <c r="I61" s="12" t="n"/>
    </row>
    <row r="62">
      <c r="A62" s="12" t="n"/>
      <c r="B62" s="12" t="n"/>
      <c r="C62" s="12" t="n"/>
      <c r="D62" s="12" t="n"/>
      <c r="E62" s="12" t="n"/>
      <c r="F62" s="12" t="n"/>
      <c r="G62" s="13">
        <f>IF(OR(D62="",F62=""),"",IF(AND(D62=F62,D62&lt;&gt;"Can't tell"),"Yes","No"))</f>
        <v/>
      </c>
      <c r="H62" s="12" t="n"/>
      <c r="I62" s="12" t="n"/>
    </row>
    <row r="63">
      <c r="A63" s="12" t="n"/>
      <c r="B63" s="12" t="n"/>
      <c r="C63" s="12" t="n"/>
      <c r="D63" s="12" t="n"/>
      <c r="E63" s="12" t="n"/>
      <c r="F63" s="12" t="n"/>
      <c r="G63" s="13">
        <f>IF(OR(D63="",F63=""),"",IF(AND(D63=F63,D63&lt;&gt;"Can't tell"),"Yes","No"))</f>
        <v/>
      </c>
      <c r="H63" s="12" t="n"/>
      <c r="I63" s="12" t="n"/>
    </row>
    <row r="64">
      <c r="A64" s="12" t="n"/>
      <c r="B64" s="12" t="n"/>
      <c r="C64" s="12" t="n"/>
      <c r="D64" s="12" t="n"/>
      <c r="E64" s="12" t="n"/>
      <c r="F64" s="12" t="n"/>
      <c r="G64" s="13">
        <f>IF(OR(D64="",F64=""),"",IF(AND(D64=F64,D64&lt;&gt;"Can't tell"),"Yes","No"))</f>
        <v/>
      </c>
      <c r="H64" s="12" t="n"/>
      <c r="I64" s="12" t="n"/>
    </row>
    <row r="65">
      <c r="A65" s="12" t="n"/>
      <c r="B65" s="12" t="n"/>
      <c r="C65" s="12" t="n"/>
      <c r="D65" s="12" t="n"/>
      <c r="E65" s="12" t="n"/>
      <c r="F65" s="12" t="n"/>
      <c r="G65" s="13">
        <f>IF(OR(D65="",F65=""),"",IF(AND(D65=F65,D65&lt;&gt;"Can't tell"),"Yes","No"))</f>
        <v/>
      </c>
      <c r="H65" s="12" t="n"/>
      <c r="I65" s="12" t="n"/>
    </row>
    <row r="66">
      <c r="A66" s="12" t="n"/>
      <c r="B66" s="12" t="n"/>
      <c r="C66" s="12" t="n"/>
      <c r="D66" s="12" t="n"/>
      <c r="E66" s="12" t="n"/>
      <c r="F66" s="12" t="n"/>
      <c r="G66" s="13">
        <f>IF(OR(D66="",F66=""),"",IF(AND(D66=F66,D66&lt;&gt;"Can't tell"),"Yes","No"))</f>
        <v/>
      </c>
      <c r="H66" s="12" t="n"/>
      <c r="I66" s="12" t="n"/>
    </row>
    <row r="67">
      <c r="A67" s="12" t="n"/>
      <c r="B67" s="12" t="n"/>
      <c r="C67" s="12" t="n"/>
      <c r="D67" s="12" t="n"/>
      <c r="E67" s="12" t="n"/>
      <c r="F67" s="12" t="n"/>
      <c r="G67" s="13">
        <f>IF(OR(D67="",F67=""),"",IF(AND(D67=F67,D67&lt;&gt;"Can't tell"),"Yes","No"))</f>
        <v/>
      </c>
      <c r="H67" s="12" t="n"/>
      <c r="I67" s="12" t="n"/>
    </row>
    <row r="68">
      <c r="A68" s="12" t="n"/>
      <c r="B68" s="12" t="n"/>
      <c r="C68" s="12" t="n"/>
      <c r="D68" s="12" t="n"/>
      <c r="E68" s="12" t="n"/>
      <c r="F68" s="12" t="n"/>
      <c r="G68" s="13">
        <f>IF(OR(D68="",F68=""),"",IF(AND(D68=F68,D68&lt;&gt;"Can't tell"),"Yes","No"))</f>
        <v/>
      </c>
      <c r="H68" s="12" t="n"/>
      <c r="I68" s="12" t="n"/>
    </row>
    <row r="69">
      <c r="A69" s="12" t="n"/>
      <c r="B69" s="12" t="n"/>
      <c r="C69" s="12" t="n"/>
      <c r="D69" s="12" t="n"/>
      <c r="E69" s="12" t="n"/>
      <c r="F69" s="12" t="n"/>
      <c r="G69" s="13">
        <f>IF(OR(D69="",F69=""),"",IF(AND(D69=F69,D69&lt;&gt;"Can't tell"),"Yes","No"))</f>
        <v/>
      </c>
      <c r="H69" s="12" t="n"/>
      <c r="I69" s="12" t="n"/>
    </row>
    <row r="70">
      <c r="A70" s="12" t="n"/>
      <c r="B70" s="12" t="n"/>
      <c r="C70" s="12" t="n"/>
      <c r="D70" s="12" t="n"/>
      <c r="E70" s="12" t="n"/>
      <c r="F70" s="12" t="n"/>
      <c r="G70" s="13">
        <f>IF(OR(D70="",F70=""),"",IF(AND(D70=F70,D70&lt;&gt;"Can't tell"),"Yes","No"))</f>
        <v/>
      </c>
      <c r="H70" s="12" t="n"/>
      <c r="I70" s="12" t="n"/>
    </row>
    <row r="71">
      <c r="A71" s="12" t="n"/>
      <c r="B71" s="12" t="n"/>
      <c r="C71" s="12" t="n"/>
      <c r="D71" s="12" t="n"/>
      <c r="E71" s="12" t="n"/>
      <c r="F71" s="12" t="n"/>
      <c r="G71" s="13">
        <f>IF(OR(D71="",F71=""),"",IF(AND(D71=F71,D71&lt;&gt;"Can't tell"),"Yes","No"))</f>
        <v/>
      </c>
      <c r="H71" s="12" t="n"/>
      <c r="I71" s="12" t="n"/>
    </row>
    <row r="72">
      <c r="A72" s="12" t="n"/>
      <c r="B72" s="12" t="n"/>
      <c r="C72" s="12" t="n"/>
      <c r="D72" s="12" t="n"/>
      <c r="E72" s="12" t="n"/>
      <c r="F72" s="12" t="n"/>
      <c r="G72" s="13">
        <f>IF(OR(D72="",F72=""),"",IF(AND(D72=F72,D72&lt;&gt;"Can't tell"),"Yes","No"))</f>
        <v/>
      </c>
      <c r="H72" s="12" t="n"/>
      <c r="I72" s="12" t="n"/>
    </row>
    <row r="73">
      <c r="A73" s="12" t="n"/>
      <c r="B73" s="12" t="n"/>
      <c r="C73" s="12" t="n"/>
      <c r="D73" s="12" t="n"/>
      <c r="E73" s="12" t="n"/>
      <c r="F73" s="12" t="n"/>
      <c r="G73" s="13">
        <f>IF(OR(D73="",F73=""),"",IF(AND(D73=F73,D73&lt;&gt;"Can't tell"),"Yes","No"))</f>
        <v/>
      </c>
      <c r="H73" s="12" t="n"/>
      <c r="I73" s="12" t="n"/>
    </row>
    <row r="74">
      <c r="A74" s="12" t="n"/>
      <c r="B74" s="12" t="n"/>
      <c r="C74" s="12" t="n"/>
      <c r="D74" s="12" t="n"/>
      <c r="E74" s="12" t="n"/>
      <c r="F74" s="12" t="n"/>
      <c r="G74" s="13">
        <f>IF(OR(D74="",F74=""),"",IF(AND(D74=F74,D74&lt;&gt;"Can't tell"),"Yes","No"))</f>
        <v/>
      </c>
      <c r="H74" s="12" t="n"/>
      <c r="I74" s="12" t="n"/>
    </row>
    <row r="75">
      <c r="A75" s="12" t="n"/>
      <c r="B75" s="12" t="n"/>
      <c r="C75" s="12" t="n"/>
      <c r="D75" s="12" t="n"/>
      <c r="E75" s="12" t="n"/>
      <c r="F75" s="12" t="n"/>
      <c r="G75" s="13">
        <f>IF(OR(D75="",F75=""),"",IF(AND(D75=F75,D75&lt;&gt;"Can't tell"),"Yes","No"))</f>
        <v/>
      </c>
      <c r="H75" s="12" t="n"/>
      <c r="I75" s="12" t="n"/>
    </row>
    <row r="76">
      <c r="A76" s="12" t="n"/>
      <c r="B76" s="12" t="n"/>
      <c r="C76" s="12" t="n"/>
      <c r="D76" s="12" t="n"/>
      <c r="E76" s="12" t="n"/>
      <c r="F76" s="12" t="n"/>
      <c r="G76" s="13">
        <f>IF(OR(D76="",F76=""),"",IF(AND(D76=F76,D76&lt;&gt;"Can't tell"),"Yes","No"))</f>
        <v/>
      </c>
      <c r="H76" s="12" t="n"/>
      <c r="I76" s="12" t="n"/>
    </row>
    <row r="77">
      <c r="A77" s="12" t="n"/>
      <c r="B77" s="12" t="n"/>
      <c r="C77" s="12" t="n"/>
      <c r="D77" s="12" t="n"/>
      <c r="E77" s="12" t="n"/>
      <c r="F77" s="12" t="n"/>
      <c r="G77" s="13">
        <f>IF(OR(D77="",F77=""),"",IF(AND(D77=F77,D77&lt;&gt;"Can't tell"),"Yes","No"))</f>
        <v/>
      </c>
      <c r="H77" s="12" t="n"/>
      <c r="I77" s="12" t="n"/>
    </row>
    <row r="78">
      <c r="A78" s="12" t="n"/>
      <c r="B78" s="12" t="n"/>
      <c r="C78" s="12" t="n"/>
      <c r="D78" s="12" t="n"/>
      <c r="E78" s="12" t="n"/>
      <c r="F78" s="12" t="n"/>
      <c r="G78" s="13">
        <f>IF(OR(D78="",F78=""),"",IF(AND(D78=F78,D78&lt;&gt;"Can't tell"),"Yes","No"))</f>
        <v/>
      </c>
      <c r="H78" s="12" t="n"/>
      <c r="I78" s="12" t="n"/>
    </row>
    <row r="79">
      <c r="A79" s="12" t="n"/>
      <c r="B79" s="12" t="n"/>
      <c r="C79" s="12" t="n"/>
      <c r="D79" s="12" t="n"/>
      <c r="E79" s="12" t="n"/>
      <c r="F79" s="12" t="n"/>
      <c r="G79" s="13">
        <f>IF(OR(D79="",F79=""),"",IF(AND(D79=F79,D79&lt;&gt;"Can't tell"),"Yes","No"))</f>
        <v/>
      </c>
      <c r="H79" s="12" t="n"/>
      <c r="I79" s="12" t="n"/>
    </row>
    <row r="80">
      <c r="A80" s="12" t="n"/>
      <c r="B80" s="12" t="n"/>
      <c r="C80" s="12" t="n"/>
      <c r="D80" s="12" t="n"/>
      <c r="E80" s="12" t="n"/>
      <c r="F80" s="12" t="n"/>
      <c r="G80" s="13">
        <f>IF(OR(D80="",F80=""),"",IF(AND(D80=F80,D80&lt;&gt;"Can't tell"),"Yes","No"))</f>
        <v/>
      </c>
      <c r="H80" s="12" t="n"/>
      <c r="I80" s="12" t="n"/>
    </row>
    <row r="81">
      <c r="A81" s="12" t="n"/>
      <c r="B81" s="12" t="n"/>
      <c r="C81" s="12" t="n"/>
      <c r="D81" s="12" t="n"/>
      <c r="E81" s="12" t="n"/>
      <c r="F81" s="12" t="n"/>
      <c r="G81" s="13">
        <f>IF(OR(D81="",F81=""),"",IF(AND(D81=F81,D81&lt;&gt;"Can't tell"),"Yes","No"))</f>
        <v/>
      </c>
      <c r="H81" s="12" t="n"/>
      <c r="I81" s="12" t="n"/>
    </row>
    <row r="82">
      <c r="A82" s="12" t="n"/>
      <c r="B82" s="12" t="n"/>
      <c r="C82" s="12" t="n"/>
      <c r="D82" s="12" t="n"/>
      <c r="E82" s="12" t="n"/>
      <c r="F82" s="12" t="n"/>
      <c r="G82" s="13">
        <f>IF(OR(D82="",F82=""),"",IF(AND(D82=F82,D82&lt;&gt;"Can't tell"),"Yes","No"))</f>
        <v/>
      </c>
      <c r="H82" s="12" t="n"/>
      <c r="I82" s="12" t="n"/>
    </row>
    <row r="83">
      <c r="A83" s="12" t="n"/>
      <c r="B83" s="12" t="n"/>
      <c r="C83" s="12" t="n"/>
      <c r="D83" s="12" t="n"/>
      <c r="E83" s="12" t="n"/>
      <c r="F83" s="12" t="n"/>
      <c r="G83" s="13">
        <f>IF(OR(D83="",F83=""),"",IF(AND(D83=F83,D83&lt;&gt;"Can't tell"),"Yes","No"))</f>
        <v/>
      </c>
      <c r="H83" s="12" t="n"/>
      <c r="I83" s="12" t="n"/>
    </row>
    <row r="84">
      <c r="A84" s="12" t="n"/>
      <c r="B84" s="12" t="n"/>
      <c r="C84" s="12" t="n"/>
      <c r="D84" s="12" t="n"/>
      <c r="E84" s="12" t="n"/>
      <c r="F84" s="12" t="n"/>
      <c r="G84" s="13">
        <f>IF(OR(D84="",F84=""),"",IF(AND(D84=F84,D84&lt;&gt;"Can't tell"),"Yes","No"))</f>
        <v/>
      </c>
      <c r="H84" s="12" t="n"/>
      <c r="I84" s="12" t="n"/>
    </row>
    <row r="85">
      <c r="A85" s="12" t="n"/>
      <c r="B85" s="12" t="n"/>
      <c r="C85" s="12" t="n"/>
      <c r="D85" s="12" t="n"/>
      <c r="E85" s="12" t="n"/>
      <c r="F85" s="12" t="n"/>
      <c r="G85" s="13">
        <f>IF(OR(D85="",F85=""),"",IF(AND(D85=F85,D85&lt;&gt;"Can't tell"),"Yes","No"))</f>
        <v/>
      </c>
      <c r="H85" s="12" t="n"/>
      <c r="I85" s="12" t="n"/>
    </row>
    <row r="86">
      <c r="A86" s="12" t="n"/>
      <c r="B86" s="12" t="n"/>
      <c r="C86" s="12" t="n"/>
      <c r="D86" s="12" t="n"/>
      <c r="E86" s="12" t="n"/>
      <c r="F86" s="12" t="n"/>
      <c r="G86" s="13">
        <f>IF(OR(D86="",F86=""),"",IF(AND(D86=F86,D86&lt;&gt;"Can't tell"),"Yes","No"))</f>
        <v/>
      </c>
      <c r="H86" s="12" t="n"/>
      <c r="I86" s="12" t="n"/>
    </row>
    <row r="87">
      <c r="A87" s="12" t="n"/>
      <c r="B87" s="12" t="n"/>
      <c r="C87" s="12" t="n"/>
      <c r="D87" s="12" t="n"/>
      <c r="E87" s="12" t="n"/>
      <c r="F87" s="12" t="n"/>
      <c r="G87" s="13">
        <f>IF(OR(D87="",F87=""),"",IF(AND(D87=F87,D87&lt;&gt;"Can't tell"),"Yes","No"))</f>
        <v/>
      </c>
      <c r="H87" s="12" t="n"/>
      <c r="I87" s="12" t="n"/>
    </row>
    <row r="88">
      <c r="A88" s="12" t="n"/>
      <c r="B88" s="12" t="n"/>
      <c r="C88" s="12" t="n"/>
      <c r="D88" s="12" t="n"/>
      <c r="E88" s="12" t="n"/>
      <c r="F88" s="12" t="n"/>
      <c r="G88" s="13">
        <f>IF(OR(D88="",F88=""),"",IF(AND(D88=F88,D88&lt;&gt;"Can't tell"),"Yes","No"))</f>
        <v/>
      </c>
      <c r="H88" s="12" t="n"/>
      <c r="I88" s="12" t="n"/>
    </row>
    <row r="89">
      <c r="A89" s="12" t="n"/>
      <c r="B89" s="12" t="n"/>
      <c r="C89" s="12" t="n"/>
      <c r="D89" s="12" t="n"/>
      <c r="E89" s="12" t="n"/>
      <c r="F89" s="12" t="n"/>
      <c r="G89" s="13">
        <f>IF(OR(D89="",F89=""),"",IF(AND(D89=F89,D89&lt;&gt;"Can't tell"),"Yes","No"))</f>
        <v/>
      </c>
      <c r="H89" s="12" t="n"/>
      <c r="I89" s="12" t="n"/>
    </row>
    <row r="90">
      <c r="A90" s="12" t="n"/>
      <c r="B90" s="12" t="n"/>
      <c r="C90" s="12" t="n"/>
      <c r="D90" s="12" t="n"/>
      <c r="E90" s="12" t="n"/>
      <c r="F90" s="12" t="n"/>
      <c r="G90" s="13">
        <f>IF(OR(D90="",F90=""),"",IF(AND(D90=F90,D90&lt;&gt;"Can't tell"),"Yes","No"))</f>
        <v/>
      </c>
      <c r="H90" s="12" t="n"/>
      <c r="I90" s="12" t="n"/>
    </row>
    <row r="91">
      <c r="A91" s="12" t="n"/>
      <c r="B91" s="12" t="n"/>
      <c r="C91" s="12" t="n"/>
      <c r="D91" s="12" t="n"/>
      <c r="E91" s="12" t="n"/>
      <c r="F91" s="12" t="n"/>
      <c r="G91" s="13">
        <f>IF(OR(D91="",F91=""),"",IF(AND(D91=F91,D91&lt;&gt;"Can't tell"),"Yes","No"))</f>
        <v/>
      </c>
      <c r="H91" s="12" t="n"/>
      <c r="I91" s="12" t="n"/>
    </row>
    <row r="92">
      <c r="A92" s="12" t="n"/>
      <c r="B92" s="12" t="n"/>
      <c r="C92" s="12" t="n"/>
      <c r="D92" s="12" t="n"/>
      <c r="E92" s="12" t="n"/>
      <c r="F92" s="12" t="n"/>
      <c r="G92" s="13">
        <f>IF(OR(D92="",F92=""),"",IF(AND(D92=F92,D92&lt;&gt;"Can't tell"),"Yes","No"))</f>
        <v/>
      </c>
      <c r="H92" s="12" t="n"/>
      <c r="I92" s="12" t="n"/>
    </row>
    <row r="93">
      <c r="A93" s="12" t="n"/>
      <c r="B93" s="12" t="n"/>
      <c r="C93" s="12" t="n"/>
      <c r="D93" s="12" t="n"/>
      <c r="E93" s="12" t="n"/>
      <c r="F93" s="12" t="n"/>
      <c r="G93" s="13">
        <f>IF(OR(D93="",F93=""),"",IF(AND(D93=F93,D93&lt;&gt;"Can't tell"),"Yes","No"))</f>
        <v/>
      </c>
      <c r="H93" s="12" t="n"/>
      <c r="I93" s="12" t="n"/>
    </row>
    <row r="94">
      <c r="A94" s="12" t="n"/>
      <c r="B94" s="12" t="n"/>
      <c r="C94" s="12" t="n"/>
      <c r="D94" s="12" t="n"/>
      <c r="E94" s="12" t="n"/>
      <c r="F94" s="12" t="n"/>
      <c r="G94" s="13">
        <f>IF(OR(D94="",F94=""),"",IF(AND(D94=F94,D94&lt;&gt;"Can't tell"),"Yes","No"))</f>
        <v/>
      </c>
      <c r="H94" s="12" t="n"/>
      <c r="I94" s="12" t="n"/>
    </row>
    <row r="95">
      <c r="A95" s="12" t="n"/>
      <c r="B95" s="12" t="n"/>
      <c r="C95" s="12" t="n"/>
      <c r="D95" s="12" t="n"/>
      <c r="E95" s="12" t="n"/>
      <c r="F95" s="12" t="n"/>
      <c r="G95" s="13">
        <f>IF(OR(D95="",F95=""),"",IF(AND(D95=F95,D95&lt;&gt;"Can't tell"),"Yes","No"))</f>
        <v/>
      </c>
      <c r="H95" s="12" t="n"/>
      <c r="I95" s="12" t="n"/>
    </row>
    <row r="96">
      <c r="A96" s="12" t="n"/>
      <c r="B96" s="12" t="n"/>
      <c r="C96" s="12" t="n"/>
      <c r="D96" s="12" t="n"/>
      <c r="E96" s="12" t="n"/>
      <c r="F96" s="12" t="n"/>
      <c r="G96" s="13">
        <f>IF(OR(D96="",F96=""),"",IF(AND(D96=F96,D96&lt;&gt;"Can't tell"),"Yes","No"))</f>
        <v/>
      </c>
      <c r="H96" s="12" t="n"/>
      <c r="I96" s="12" t="n"/>
    </row>
    <row r="97">
      <c r="A97" s="12" t="n"/>
      <c r="B97" s="12" t="n"/>
      <c r="C97" s="12" t="n"/>
      <c r="D97" s="12" t="n"/>
      <c r="E97" s="12" t="n"/>
      <c r="F97" s="12" t="n"/>
      <c r="G97" s="13">
        <f>IF(OR(D97="",F97=""),"",IF(AND(D97=F97,D97&lt;&gt;"Can't tell"),"Yes","No"))</f>
        <v/>
      </c>
      <c r="H97" s="12" t="n"/>
      <c r="I97" s="12" t="n"/>
    </row>
    <row r="98">
      <c r="A98" s="12" t="n"/>
      <c r="B98" s="12" t="n"/>
      <c r="C98" s="12" t="n"/>
      <c r="D98" s="12" t="n"/>
      <c r="E98" s="12" t="n"/>
      <c r="F98" s="12" t="n"/>
      <c r="G98" s="13">
        <f>IF(OR(D98="",F98=""),"",IF(AND(D98=F98,D98&lt;&gt;"Can't tell"),"Yes","No"))</f>
        <v/>
      </c>
      <c r="H98" s="12" t="n"/>
      <c r="I98" s="12" t="n"/>
    </row>
    <row r="99">
      <c r="A99" s="12" t="n"/>
      <c r="B99" s="12" t="n"/>
      <c r="C99" s="12" t="n"/>
      <c r="D99" s="12" t="n"/>
      <c r="E99" s="12" t="n"/>
      <c r="F99" s="12" t="n"/>
      <c r="G99" s="13">
        <f>IF(OR(D99="",F99=""),"",IF(AND(D99=F99,D99&lt;&gt;"Can't tell"),"Yes","No"))</f>
        <v/>
      </c>
      <c r="H99" s="12" t="n"/>
      <c r="I99" s="12" t="n"/>
    </row>
    <row r="100">
      <c r="A100" s="12" t="n"/>
      <c r="B100" s="12" t="n"/>
      <c r="C100" s="12" t="n"/>
      <c r="D100" s="12" t="n"/>
      <c r="E100" s="12" t="n"/>
      <c r="F100" s="12" t="n"/>
      <c r="G100" s="13">
        <f>IF(OR(D100="",F100=""),"",IF(AND(D100=F100,D100&lt;&gt;"Can't tell"),"Yes","No"))</f>
        <v/>
      </c>
      <c r="H100" s="12" t="n"/>
      <c r="I100" s="12" t="n"/>
    </row>
    <row r="101">
      <c r="A101" s="12" t="n"/>
      <c r="B101" s="12" t="n"/>
      <c r="C101" s="12" t="n"/>
      <c r="D101" s="12" t="n"/>
      <c r="E101" s="12" t="n"/>
      <c r="F101" s="12" t="n"/>
      <c r="G101" s="13">
        <f>IF(OR(D101="",F101=""),"",IF(AND(D101=F101,D101&lt;&gt;"Can't tell"),"Yes","No"))</f>
        <v/>
      </c>
      <c r="H101" s="12" t="n"/>
      <c r="I101" s="12" t="n"/>
    </row>
    <row r="102">
      <c r="A102" s="12" t="n"/>
      <c r="B102" s="12" t="n"/>
      <c r="C102" s="12" t="n"/>
      <c r="D102" s="12" t="n"/>
      <c r="E102" s="12" t="n"/>
      <c r="F102" s="12" t="n"/>
      <c r="G102" s="13">
        <f>IF(OR(D102="",F102=""),"",IF(AND(D102=F102,D102&lt;&gt;"Can't tell"),"Yes","No"))</f>
        <v/>
      </c>
      <c r="H102" s="12" t="n"/>
      <c r="I102" s="12" t="n"/>
    </row>
    <row r="103">
      <c r="A103" s="12" t="n"/>
      <c r="B103" s="12" t="n"/>
      <c r="C103" s="12" t="n"/>
      <c r="D103" s="12" t="n"/>
      <c r="E103" s="12" t="n"/>
      <c r="F103" s="12" t="n"/>
      <c r="G103" s="13">
        <f>IF(OR(D103="",F103=""),"",IF(AND(D103=F103,D103&lt;&gt;"Can't tell"),"Yes","No"))</f>
        <v/>
      </c>
      <c r="H103" s="12" t="n"/>
      <c r="I103" s="12" t="n"/>
    </row>
    <row r="104">
      <c r="A104" s="12" t="n"/>
      <c r="B104" s="12" t="n"/>
      <c r="C104" s="12" t="n"/>
      <c r="D104" s="12" t="n"/>
      <c r="E104" s="12" t="n"/>
      <c r="F104" s="12" t="n"/>
      <c r="G104" s="13">
        <f>IF(OR(D104="",F104=""),"",IF(AND(D104=F104,D104&lt;&gt;"Can't tell"),"Yes","No"))</f>
        <v/>
      </c>
      <c r="H104" s="12" t="n"/>
      <c r="I104" s="12" t="n"/>
    </row>
  </sheetData>
  <dataValidations count="5">
    <dataValidation sqref="B4:B104" showDropDown="0" showInputMessage="0" showErrorMessage="0" allowBlank="1" type="list">
      <formula1>"Weak,Reference"</formula1>
    </dataValidation>
    <dataValidation sqref="D4:D104" showDropDown="0" showInputMessage="0" showErrorMessage="0" allowBlank="1" type="list">
      <formula1>"Pass,Fail,Can't tell"</formula1>
    </dataValidation>
    <dataValidation sqref="F4:F104" showDropDown="0" showInputMessage="0" showErrorMessage="0" allowBlank="1" type="list">
      <formula1>"Pass,Fail,Can't tell"</formula1>
    </dataValidation>
    <dataValidation sqref="H4:H104" showDropDown="0" showInputMessage="0" showErrorMessage="0" allowBlank="1" type="list">
      <formula1>"Yes,No"</formula1>
    </dataValidation>
    <dataValidation sqref="A5:A104" showDropDown="0" showInputMessage="0" showErrorMessage="0" allowBlank="1" type="list">
      <formula1>'Eval Cases'!$A$5:$A$104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8" customWidth="1" min="8" max="8"/>
    <col width="36" customWidth="1" min="12" max="12"/>
    <col width="12" customWidth="1" min="13" max="13"/>
    <col width="30" customWidth="1" min="15" max="15"/>
    <col width="8" customWidth="1" min="16" max="16"/>
    <col width="10" customWidth="1" min="17" max="17"/>
    <col width="8" customWidth="1" min="18" max="18"/>
    <col width="10" customWidth="1" min="19" max="19"/>
  </cols>
  <sheetData>
    <row r="1">
      <c r="A1" s="9" t="inlineStr">
        <is>
          <t>Summary</t>
        </is>
      </c>
    </row>
    <row r="2">
      <c r="A2" s="2" t="inlineStr">
        <is>
          <t>Calculated from Eval Cases, Runs, and Calibration. Example rows are excluded. Can't tell runs are left out of pass rates. Do not type in this tab.</t>
        </is>
      </c>
    </row>
    <row r="3">
      <c r="A3" s="10" t="inlineStr">
        <is>
          <t>Case ID</t>
        </is>
      </c>
      <c r="B3" s="10" t="inlineStr">
        <is>
          <t>Target task</t>
        </is>
      </c>
      <c r="C3" s="10" t="inlineStr">
        <is>
          <t>Type</t>
        </is>
      </c>
      <c r="D3" s="10" t="inlineStr">
        <is>
          <t>Runs</t>
        </is>
      </c>
      <c r="E3" s="10" t="inlineStr">
        <is>
          <t>Passes</t>
        </is>
      </c>
      <c r="F3" s="10" t="inlineStr">
        <is>
          <t>Can't tell</t>
        </is>
      </c>
      <c r="G3" s="10" t="inlineStr">
        <is>
          <t>Pass rate</t>
        </is>
      </c>
      <c r="H3" s="10" t="inlineStr">
        <is>
          <t>Passed every run</t>
        </is>
      </c>
      <c r="L3" s="10" t="inlineStr">
        <is>
          <t>Overview</t>
        </is>
      </c>
      <c r="M3" s="10" t="inlineStr"/>
      <c r="O3" s="10" t="inlineStr">
        <is>
          <t>Target task</t>
        </is>
      </c>
      <c r="P3" s="10" t="inlineStr">
        <is>
          <t>Cases</t>
        </is>
      </c>
      <c r="Q3" s="10" t="inlineStr">
        <is>
          <t>Graded runs</t>
        </is>
      </c>
      <c r="R3" s="10" t="inlineStr">
        <is>
          <t>Passes</t>
        </is>
      </c>
      <c r="S3" s="10" t="inlineStr">
        <is>
          <t>Pass rate</t>
        </is>
      </c>
    </row>
    <row r="4">
      <c r="A4" s="21">
        <f>IF('Eval Cases'!A5="","",'Eval Cases'!A5)</f>
        <v/>
      </c>
      <c r="B4" s="21">
        <f>IF(A4="","",'Eval Cases'!B5)</f>
        <v/>
      </c>
      <c r="C4" s="21">
        <f>IF(A4="","",'Eval Cases'!C5)</f>
        <v/>
      </c>
      <c r="D4" s="21">
        <f>IF(A4="","",COUNTIF(Runs!$A$5:$A$1004,A4))</f>
        <v/>
      </c>
      <c r="E4" s="21">
        <f>IF(A4="","",COUNTIFS(Runs!$A$5:$A$1004,A4,Runs!$I$5:$I$1004,"Pass"))</f>
        <v/>
      </c>
      <c r="F4" s="21">
        <f>IF(A4="","",COUNTIFS(Runs!$A$5:$A$1004,A4,Runs!$I$5:$I$1004,"Can't tell"))</f>
        <v/>
      </c>
      <c r="G4" s="22">
        <f>IF(A4="","",IF(D4-F4=0,"",E4/(D4-F4)))</f>
        <v/>
      </c>
      <c r="H4" s="21">
        <f>IF(A4="","",IF(D4=0,"Not run",IF(D4-E4-F4&gt;0,"No",IF(E4&gt;=3,"Yes","Needs 3 graded runs"))))</f>
        <v/>
      </c>
      <c r="L4" s="23" t="inlineStr">
        <is>
          <t>Cases written</t>
        </is>
      </c>
      <c r="M4" s="24">
        <f>SUMPRODUCT(--(LEN($A$4:$A$103)&gt;0))</f>
        <v/>
      </c>
      <c r="O4" s="21">
        <f>IF('Target Tasks'!A5="","",'Target Tasks'!A5)</f>
        <v/>
      </c>
      <c r="P4" s="21">
        <f>IF(O4="","",COUNTIF($B$4:$B$103,O4))</f>
        <v/>
      </c>
      <c r="Q4" s="21">
        <f>IF(O4="","",SUMIF($B$4:$B$103,O4,$D$4:$D$103)-SUMIF($B$4:$B$103,O4,$F$4:$F$103))</f>
        <v/>
      </c>
      <c r="R4" s="21">
        <f>IF(O4="","",SUMIF($B$4:$B$103,O4,$E$4:$E$103))</f>
        <v/>
      </c>
      <c r="S4" s="22">
        <f>IF(O4="","",IF(Q4=0,"",R4/Q4))</f>
        <v/>
      </c>
    </row>
    <row r="5">
      <c r="A5" s="21">
        <f>IF('Eval Cases'!A6="","",'Eval Cases'!A6)</f>
        <v/>
      </c>
      <c r="B5" s="21">
        <f>IF(A5="","",'Eval Cases'!B6)</f>
        <v/>
      </c>
      <c r="C5" s="21">
        <f>IF(A5="","",'Eval Cases'!C6)</f>
        <v/>
      </c>
      <c r="D5" s="21">
        <f>IF(A5="","",COUNTIF(Runs!$A$5:$A$1004,A5))</f>
        <v/>
      </c>
      <c r="E5" s="21">
        <f>IF(A5="","",COUNTIFS(Runs!$A$5:$A$1004,A5,Runs!$I$5:$I$1004,"Pass"))</f>
        <v/>
      </c>
      <c r="F5" s="21">
        <f>IF(A5="","",COUNTIFS(Runs!$A$5:$A$1004,A5,Runs!$I$5:$I$1004,"Can't tell"))</f>
        <v/>
      </c>
      <c r="G5" s="22">
        <f>IF(A5="","",IF(D5-F5=0,"",E5/(D5-F5)))</f>
        <v/>
      </c>
      <c r="H5" s="21">
        <f>IF(A5="","",IF(D5=0,"Not run",IF(D5-E5-F5&gt;0,"No",IF(E5&gt;=3,"Yes","Needs 3 graded runs"))))</f>
        <v/>
      </c>
      <c r="L5" s="23" t="inlineStr">
        <is>
          <t>Cases meeting the two-expert standard</t>
        </is>
      </c>
      <c r="M5" s="24">
        <f>COUNTIF('Eval Cases'!O5:O104,"Two experts")</f>
        <v/>
      </c>
      <c r="O5" s="21">
        <f>IF('Target Tasks'!A6="","",'Target Tasks'!A6)</f>
        <v/>
      </c>
      <c r="P5" s="21">
        <f>IF(O5="","",COUNTIF($B$4:$B$103,O5))</f>
        <v/>
      </c>
      <c r="Q5" s="21">
        <f>IF(O5="","",SUMIF($B$4:$B$103,O5,$D$4:$D$103)-SUMIF($B$4:$B$103,O5,$F$4:$F$103))</f>
        <v/>
      </c>
      <c r="R5" s="21">
        <f>IF(O5="","",SUMIF($B$4:$B$103,O5,$E$4:$E$103))</f>
        <v/>
      </c>
      <c r="S5" s="22">
        <f>IF(O5="","",IF(Q5=0,"",R5/Q5))</f>
        <v/>
      </c>
    </row>
    <row r="6">
      <c r="A6" s="21">
        <f>IF('Eval Cases'!A7="","",'Eval Cases'!A7)</f>
        <v/>
      </c>
      <c r="B6" s="21">
        <f>IF(A6="","",'Eval Cases'!B7)</f>
        <v/>
      </c>
      <c r="C6" s="21">
        <f>IF(A6="","",'Eval Cases'!C7)</f>
        <v/>
      </c>
      <c r="D6" s="21">
        <f>IF(A6="","",COUNTIF(Runs!$A$5:$A$1004,A6))</f>
        <v/>
      </c>
      <c r="E6" s="21">
        <f>IF(A6="","",COUNTIFS(Runs!$A$5:$A$1004,A6,Runs!$I$5:$I$1004,"Pass"))</f>
        <v/>
      </c>
      <c r="F6" s="21">
        <f>IF(A6="","",COUNTIFS(Runs!$A$5:$A$1004,A6,Runs!$I$5:$I$1004,"Can't tell"))</f>
        <v/>
      </c>
      <c r="G6" s="22">
        <f>IF(A6="","",IF(D6-F6=0,"",E6/(D6-F6)))</f>
        <v/>
      </c>
      <c r="H6" s="21">
        <f>IF(A6="","",IF(D6=0,"Not run",IF(D6-E6-F6&gt;0,"No",IF(E6&gt;=3,"Yes","Needs 3 graded runs"))))</f>
        <v/>
      </c>
      <c r="L6" s="23" t="inlineStr">
        <is>
          <t>Total runs</t>
        </is>
      </c>
      <c r="M6" s="24">
        <f>SUM($D$4:$D$103)</f>
        <v/>
      </c>
      <c r="O6" s="21">
        <f>IF('Target Tasks'!A7="","",'Target Tasks'!A7)</f>
        <v/>
      </c>
      <c r="P6" s="21">
        <f>IF(O6="","",COUNTIF($B$4:$B$103,O6))</f>
        <v/>
      </c>
      <c r="Q6" s="21">
        <f>IF(O6="","",SUMIF($B$4:$B$103,O6,$D$4:$D$103)-SUMIF($B$4:$B$103,O6,$F$4:$F$103))</f>
        <v/>
      </c>
      <c r="R6" s="21">
        <f>IF(O6="","",SUMIF($B$4:$B$103,O6,$E$4:$E$103))</f>
        <v/>
      </c>
      <c r="S6" s="22">
        <f>IF(O6="","",IF(Q6=0,"",R6/Q6))</f>
        <v/>
      </c>
    </row>
    <row r="7">
      <c r="A7" s="21">
        <f>IF('Eval Cases'!A8="","",'Eval Cases'!A8)</f>
        <v/>
      </c>
      <c r="B7" s="21">
        <f>IF(A7="","",'Eval Cases'!B8)</f>
        <v/>
      </c>
      <c r="C7" s="21">
        <f>IF(A7="","",'Eval Cases'!C8)</f>
        <v/>
      </c>
      <c r="D7" s="21">
        <f>IF(A7="","",COUNTIF(Runs!$A$5:$A$1004,A7))</f>
        <v/>
      </c>
      <c r="E7" s="21">
        <f>IF(A7="","",COUNTIFS(Runs!$A$5:$A$1004,A7,Runs!$I$5:$I$1004,"Pass"))</f>
        <v/>
      </c>
      <c r="F7" s="21">
        <f>IF(A7="","",COUNTIFS(Runs!$A$5:$A$1004,A7,Runs!$I$5:$I$1004,"Can't tell"))</f>
        <v/>
      </c>
      <c r="G7" s="22">
        <f>IF(A7="","",IF(D7-F7=0,"",E7/(D7-F7)))</f>
        <v/>
      </c>
      <c r="H7" s="21">
        <f>IF(A7="","",IF(D7=0,"Not run",IF(D7-E7-F7&gt;0,"No",IF(E7&gt;=3,"Yes","Needs 3 graded runs"))))</f>
        <v/>
      </c>
      <c r="L7" s="23" t="inlineStr">
        <is>
          <t>Can't tell runs</t>
        </is>
      </c>
      <c r="M7" s="24">
        <f>SUM($F$4:$F$103)</f>
        <v/>
      </c>
      <c r="O7" s="21">
        <f>IF('Target Tasks'!A8="","",'Target Tasks'!A8)</f>
        <v/>
      </c>
      <c r="P7" s="21">
        <f>IF(O7="","",COUNTIF($B$4:$B$103,O7))</f>
        <v/>
      </c>
      <c r="Q7" s="21">
        <f>IF(O7="","",SUMIF($B$4:$B$103,O7,$D$4:$D$103)-SUMIF($B$4:$B$103,O7,$F$4:$F$103))</f>
        <v/>
      </c>
      <c r="R7" s="21">
        <f>IF(O7="","",SUMIF($B$4:$B$103,O7,$E$4:$E$103))</f>
        <v/>
      </c>
      <c r="S7" s="22">
        <f>IF(O7="","",IF(Q7=0,"",R7/Q7))</f>
        <v/>
      </c>
    </row>
    <row r="8">
      <c r="A8" s="21">
        <f>IF('Eval Cases'!A9="","",'Eval Cases'!A9)</f>
        <v/>
      </c>
      <c r="B8" s="21">
        <f>IF(A8="","",'Eval Cases'!B9)</f>
        <v/>
      </c>
      <c r="C8" s="21">
        <f>IF(A8="","",'Eval Cases'!C9)</f>
        <v/>
      </c>
      <c r="D8" s="21">
        <f>IF(A8="","",COUNTIF(Runs!$A$5:$A$1004,A8))</f>
        <v/>
      </c>
      <c r="E8" s="21">
        <f>IF(A8="","",COUNTIFS(Runs!$A$5:$A$1004,A8,Runs!$I$5:$I$1004,"Pass"))</f>
        <v/>
      </c>
      <c r="F8" s="21">
        <f>IF(A8="","",COUNTIFS(Runs!$A$5:$A$1004,A8,Runs!$I$5:$I$1004,"Can't tell"))</f>
        <v/>
      </c>
      <c r="G8" s="22">
        <f>IF(A8="","",IF(D8-F8=0,"",E8/(D8-F8)))</f>
        <v/>
      </c>
      <c r="H8" s="21">
        <f>IF(A8="","",IF(D8=0,"Not run",IF(D8-E8-F8&gt;0,"No",IF(E8&gt;=3,"Yes","Needs 3 graded runs"))))</f>
        <v/>
      </c>
      <c r="L8" s="23" t="inlineStr">
        <is>
          <t>Passes</t>
        </is>
      </c>
      <c r="M8" s="24">
        <f>SUM($E$4:$E$103)</f>
        <v/>
      </c>
      <c r="O8" s="21">
        <f>IF('Target Tasks'!A9="","",'Target Tasks'!A9)</f>
        <v/>
      </c>
      <c r="P8" s="21">
        <f>IF(O8="","",COUNTIF($B$4:$B$103,O8))</f>
        <v/>
      </c>
      <c r="Q8" s="21">
        <f>IF(O8="","",SUMIF($B$4:$B$103,O8,$D$4:$D$103)-SUMIF($B$4:$B$103,O8,$F$4:$F$103))</f>
        <v/>
      </c>
      <c r="R8" s="21">
        <f>IF(O8="","",SUMIF($B$4:$B$103,O8,$E$4:$E$103))</f>
        <v/>
      </c>
      <c r="S8" s="22">
        <f>IF(O8="","",IF(Q8=0,"",R8/Q8))</f>
        <v/>
      </c>
    </row>
    <row r="9">
      <c r="A9" s="21">
        <f>IF('Eval Cases'!A10="","",'Eval Cases'!A10)</f>
        <v/>
      </c>
      <c r="B9" s="21">
        <f>IF(A9="","",'Eval Cases'!B10)</f>
        <v/>
      </c>
      <c r="C9" s="21">
        <f>IF(A9="","",'Eval Cases'!C10)</f>
        <v/>
      </c>
      <c r="D9" s="21">
        <f>IF(A9="","",COUNTIF(Runs!$A$5:$A$1004,A9))</f>
        <v/>
      </c>
      <c r="E9" s="21">
        <f>IF(A9="","",COUNTIFS(Runs!$A$5:$A$1004,A9,Runs!$I$5:$I$1004,"Pass"))</f>
        <v/>
      </c>
      <c r="F9" s="21">
        <f>IF(A9="","",COUNTIFS(Runs!$A$5:$A$1004,A9,Runs!$I$5:$I$1004,"Can't tell"))</f>
        <v/>
      </c>
      <c r="G9" s="22">
        <f>IF(A9="","",IF(D9-F9=0,"",E9/(D9-F9)))</f>
        <v/>
      </c>
      <c r="H9" s="21">
        <f>IF(A9="","",IF(D9=0,"Not run",IF(D9-E9-F9&gt;0,"No",IF(E9&gt;=3,"Yes","Needs 3 graded runs"))))</f>
        <v/>
      </c>
      <c r="L9" s="23" t="inlineStr">
        <is>
          <t>Overall pass rate</t>
        </is>
      </c>
      <c r="M9" s="25">
        <f>IF(M6-M7=0,"",M8/(M6-M7))</f>
        <v/>
      </c>
      <c r="O9" s="21">
        <f>IF('Target Tasks'!A10="","",'Target Tasks'!A10)</f>
        <v/>
      </c>
      <c r="P9" s="21">
        <f>IF(O9="","",COUNTIF($B$4:$B$103,O9))</f>
        <v/>
      </c>
      <c r="Q9" s="21">
        <f>IF(O9="","",SUMIF($B$4:$B$103,O9,$D$4:$D$103)-SUMIF($B$4:$B$103,O9,$F$4:$F$103))</f>
        <v/>
      </c>
      <c r="R9" s="21">
        <f>IF(O9="","",SUMIF($B$4:$B$103,O9,$E$4:$E$103))</f>
        <v/>
      </c>
      <c r="S9" s="22">
        <f>IF(O9="","",IF(Q9=0,"",R9/Q9))</f>
        <v/>
      </c>
    </row>
    <row r="10">
      <c r="A10" s="21">
        <f>IF('Eval Cases'!A11="","",'Eval Cases'!A11)</f>
        <v/>
      </c>
      <c r="B10" s="21">
        <f>IF(A10="","",'Eval Cases'!B11)</f>
        <v/>
      </c>
      <c r="C10" s="21">
        <f>IF(A10="","",'Eval Cases'!C11)</f>
        <v/>
      </c>
      <c r="D10" s="21">
        <f>IF(A10="","",COUNTIF(Runs!$A$5:$A$1004,A10))</f>
        <v/>
      </c>
      <c r="E10" s="21">
        <f>IF(A10="","",COUNTIFS(Runs!$A$5:$A$1004,A10,Runs!$I$5:$I$1004,"Pass"))</f>
        <v/>
      </c>
      <c r="F10" s="21">
        <f>IF(A10="","",COUNTIFS(Runs!$A$5:$A$1004,A10,Runs!$I$5:$I$1004,"Can't tell"))</f>
        <v/>
      </c>
      <c r="G10" s="22">
        <f>IF(A10="","",IF(D10-F10=0,"",E10/(D10-F10)))</f>
        <v/>
      </c>
      <c r="H10" s="21">
        <f>IF(A10="","",IF(D10=0,"Not run",IF(D10-E10-F10&gt;0,"No",IF(E10&gt;=3,"Yes","Needs 3 graded runs"))))</f>
        <v/>
      </c>
      <c r="L10" s="23" t="inlineStr">
        <is>
          <t>Cases with three or more graded runs</t>
        </is>
      </c>
      <c r="M10" s="24">
        <f>SUMPRODUCT(((VALUE("0"&amp;$D$4:$D$103)-VALUE("0"&amp;$F$4:$F$103))&gt;=3)*1)</f>
        <v/>
      </c>
      <c r="O10" s="21">
        <f>IF('Target Tasks'!A11="","",'Target Tasks'!A11)</f>
        <v/>
      </c>
      <c r="P10" s="21">
        <f>IF(O10="","",COUNTIF($B$4:$B$103,O10))</f>
        <v/>
      </c>
      <c r="Q10" s="21">
        <f>IF(O10="","",SUMIF($B$4:$B$103,O10,$D$4:$D$103)-SUMIF($B$4:$B$103,O10,$F$4:$F$103))</f>
        <v/>
      </c>
      <c r="R10" s="21">
        <f>IF(O10="","",SUMIF($B$4:$B$103,O10,$E$4:$E$103))</f>
        <v/>
      </c>
      <c r="S10" s="22">
        <f>IF(O10="","",IF(Q10=0,"",R10/Q10))</f>
        <v/>
      </c>
    </row>
    <row r="11">
      <c r="A11" s="21">
        <f>IF('Eval Cases'!A12="","",'Eval Cases'!A12)</f>
        <v/>
      </c>
      <c r="B11" s="21">
        <f>IF(A11="","",'Eval Cases'!B12)</f>
        <v/>
      </c>
      <c r="C11" s="21">
        <f>IF(A11="","",'Eval Cases'!C12)</f>
        <v/>
      </c>
      <c r="D11" s="21">
        <f>IF(A11="","",COUNTIF(Runs!$A$5:$A$1004,A11))</f>
        <v/>
      </c>
      <c r="E11" s="21">
        <f>IF(A11="","",COUNTIFS(Runs!$A$5:$A$1004,A11,Runs!$I$5:$I$1004,"Pass"))</f>
        <v/>
      </c>
      <c r="F11" s="21">
        <f>IF(A11="","",COUNTIFS(Runs!$A$5:$A$1004,A11,Runs!$I$5:$I$1004,"Can't tell"))</f>
        <v/>
      </c>
      <c r="G11" s="22">
        <f>IF(A11="","",IF(D11-F11=0,"",E11/(D11-F11)))</f>
        <v/>
      </c>
      <c r="H11" s="21">
        <f>IF(A11="","",IF(D11=0,"Not run",IF(D11-E11-F11&gt;0,"No",IF(E11&gt;=3,"Yes","Needs 3 graded runs"))))</f>
        <v/>
      </c>
      <c r="L11" s="23" t="inlineStr">
        <is>
          <t>Cases that passed every run</t>
        </is>
      </c>
      <c r="M11" s="24">
        <f>COUNTIF($H$4:$H$103,"Yes")</f>
        <v/>
      </c>
      <c r="O11" s="21">
        <f>IF('Target Tasks'!A12="","",'Target Tasks'!A12)</f>
        <v/>
      </c>
      <c r="P11" s="21">
        <f>IF(O11="","",COUNTIF($B$4:$B$103,O11))</f>
        <v/>
      </c>
      <c r="Q11" s="21">
        <f>IF(O11="","",SUMIF($B$4:$B$103,O11,$D$4:$D$103)-SUMIF($B$4:$B$103,O11,$F$4:$F$103))</f>
        <v/>
      </c>
      <c r="R11" s="21">
        <f>IF(O11="","",SUMIF($B$4:$B$103,O11,$E$4:$E$103))</f>
        <v/>
      </c>
      <c r="S11" s="22">
        <f>IF(O11="","",IF(Q11=0,"",R11/Q11))</f>
        <v/>
      </c>
    </row>
    <row r="12">
      <c r="A12" s="21">
        <f>IF('Eval Cases'!A13="","",'Eval Cases'!A13)</f>
        <v/>
      </c>
      <c r="B12" s="21">
        <f>IF(A12="","",'Eval Cases'!B13)</f>
        <v/>
      </c>
      <c r="C12" s="21">
        <f>IF(A12="","",'Eval Cases'!C13)</f>
        <v/>
      </c>
      <c r="D12" s="21">
        <f>IF(A12="","",COUNTIF(Runs!$A$5:$A$1004,A12))</f>
        <v/>
      </c>
      <c r="E12" s="21">
        <f>IF(A12="","",COUNTIFS(Runs!$A$5:$A$1004,A12,Runs!$I$5:$I$1004,"Pass"))</f>
        <v/>
      </c>
      <c r="F12" s="21">
        <f>IF(A12="","",COUNTIFS(Runs!$A$5:$A$1004,A12,Runs!$I$5:$I$1004,"Can't tell"))</f>
        <v/>
      </c>
      <c r="G12" s="22">
        <f>IF(A12="","",IF(D12-F12=0,"",E12/(D12-F12)))</f>
        <v/>
      </c>
      <c r="H12" s="21">
        <f>IF(A12="","",IF(D12=0,"Not run",IF(D12-E12-F12&gt;0,"No",IF(E12&gt;=3,"Yes","Needs 3 graded runs"))))</f>
        <v/>
      </c>
      <c r="L12" s="23" t="inlineStr">
        <is>
          <t>Share passing every run</t>
        </is>
      </c>
      <c r="M12" s="25">
        <f>IF(M10=0,"",M11/M10)</f>
        <v/>
      </c>
      <c r="O12" s="21">
        <f>IF('Target Tasks'!A13="","",'Target Tasks'!A13)</f>
        <v/>
      </c>
      <c r="P12" s="21">
        <f>IF(O12="","",COUNTIF($B$4:$B$103,O12))</f>
        <v/>
      </c>
      <c r="Q12" s="21">
        <f>IF(O12="","",SUMIF($B$4:$B$103,O12,$D$4:$D$103)-SUMIF($B$4:$B$103,O12,$F$4:$F$103))</f>
        <v/>
      </c>
      <c r="R12" s="21">
        <f>IF(O12="","",SUMIF($B$4:$B$103,O12,$E$4:$E$103))</f>
        <v/>
      </c>
      <c r="S12" s="22">
        <f>IF(O12="","",IF(Q12=0,"",R12/Q12))</f>
        <v/>
      </c>
    </row>
    <row r="13">
      <c r="A13" s="21">
        <f>IF('Eval Cases'!A14="","",'Eval Cases'!A14)</f>
        <v/>
      </c>
      <c r="B13" s="21">
        <f>IF(A13="","",'Eval Cases'!B14)</f>
        <v/>
      </c>
      <c r="C13" s="21">
        <f>IF(A13="","",'Eval Cases'!C14)</f>
        <v/>
      </c>
      <c r="D13" s="21">
        <f>IF(A13="","",COUNTIF(Runs!$A$5:$A$1004,A13))</f>
        <v/>
      </c>
      <c r="E13" s="21">
        <f>IF(A13="","",COUNTIFS(Runs!$A$5:$A$1004,A13,Runs!$I$5:$I$1004,"Pass"))</f>
        <v/>
      </c>
      <c r="F13" s="21">
        <f>IF(A13="","",COUNTIFS(Runs!$A$5:$A$1004,A13,Runs!$I$5:$I$1004,"Can't tell"))</f>
        <v/>
      </c>
      <c r="G13" s="22">
        <f>IF(A13="","",IF(D13-F13=0,"",E13/(D13-F13)))</f>
        <v/>
      </c>
      <c r="H13" s="21">
        <f>IF(A13="","",IF(D13=0,"Not run",IF(D13-E13-F13&gt;0,"No",IF(E13&gt;=3,"Yes","Needs 3 graded runs"))))</f>
        <v/>
      </c>
      <c r="L13" s="23" t="inlineStr">
        <is>
          <t>Regression pass rate</t>
        </is>
      </c>
      <c r="M13" s="25">
        <f>IF(SUMIF($C$4:$C$103,"Regression",$D$4:$D$103)-SUMIF($C$4:$C$103,"Regression",$F$4:$F$103)=0,"",SUMIF($C$4:$C$103,"Regression",$E$4:$E$103)/(SUMIF($C$4:$C$103,"Regression",$D$4:$D$103)-SUMIF($C$4:$C$103,"Regression",$F$4:$F$103)))</f>
        <v/>
      </c>
      <c r="O13" s="21">
        <f>IF('Target Tasks'!A14="","",'Target Tasks'!A14)</f>
        <v/>
      </c>
      <c r="P13" s="21">
        <f>IF(O13="","",COUNTIF($B$4:$B$103,O13))</f>
        <v/>
      </c>
      <c r="Q13" s="21">
        <f>IF(O13="","",SUMIF($B$4:$B$103,O13,$D$4:$D$103)-SUMIF($B$4:$B$103,O13,$F$4:$F$103))</f>
        <v/>
      </c>
      <c r="R13" s="21">
        <f>IF(O13="","",SUMIF($B$4:$B$103,O13,$E$4:$E$103))</f>
        <v/>
      </c>
      <c r="S13" s="22">
        <f>IF(O13="","",IF(Q13=0,"",R13/Q13))</f>
        <v/>
      </c>
    </row>
    <row r="14">
      <c r="A14" s="21">
        <f>IF('Eval Cases'!A15="","",'Eval Cases'!A15)</f>
        <v/>
      </c>
      <c r="B14" s="21">
        <f>IF(A14="","",'Eval Cases'!B15)</f>
        <v/>
      </c>
      <c r="C14" s="21">
        <f>IF(A14="","",'Eval Cases'!C15)</f>
        <v/>
      </c>
      <c r="D14" s="21">
        <f>IF(A14="","",COUNTIF(Runs!$A$5:$A$1004,A14))</f>
        <v/>
      </c>
      <c r="E14" s="21">
        <f>IF(A14="","",COUNTIFS(Runs!$A$5:$A$1004,A14,Runs!$I$5:$I$1004,"Pass"))</f>
        <v/>
      </c>
      <c r="F14" s="21">
        <f>IF(A14="","",COUNTIFS(Runs!$A$5:$A$1004,A14,Runs!$I$5:$I$1004,"Can't tell"))</f>
        <v/>
      </c>
      <c r="G14" s="22">
        <f>IF(A14="","",IF(D14-F14=0,"",E14/(D14-F14)))</f>
        <v/>
      </c>
      <c r="H14" s="21">
        <f>IF(A14="","",IF(D14=0,"Not run",IF(D14-E14-F14&gt;0,"No",IF(E14&gt;=3,"Yes","Needs 3 graded runs"))))</f>
        <v/>
      </c>
      <c r="L14" s="23" t="inlineStr">
        <is>
          <t>Capability pass rate</t>
        </is>
      </c>
      <c r="M14" s="25">
        <f>IF(SUMIF($C$4:$C$103,"Capability",$D$4:$D$103)-SUMIF($C$4:$C$103,"Capability",$F$4:$F$103)=0,"",SUMIF($C$4:$C$103,"Capability",$E$4:$E$103)/(SUMIF($C$4:$C$103,"Capability",$D$4:$D$103)-SUMIF($C$4:$C$103,"Capability",$F$4:$F$103)))</f>
        <v/>
      </c>
      <c r="O14" s="21">
        <f>IF('Target Tasks'!A15="","",'Target Tasks'!A15)</f>
        <v/>
      </c>
      <c r="P14" s="21">
        <f>IF(O14="","",COUNTIF($B$4:$B$103,O14))</f>
        <v/>
      </c>
      <c r="Q14" s="21">
        <f>IF(O14="","",SUMIF($B$4:$B$103,O14,$D$4:$D$103)-SUMIF($B$4:$B$103,O14,$F$4:$F$103))</f>
        <v/>
      </c>
      <c r="R14" s="21">
        <f>IF(O14="","",SUMIF($B$4:$B$103,O14,$E$4:$E$103))</f>
        <v/>
      </c>
      <c r="S14" s="22">
        <f>IF(O14="","",IF(Q14=0,"",R14/Q14))</f>
        <v/>
      </c>
    </row>
    <row r="15">
      <c r="A15" s="21">
        <f>IF('Eval Cases'!A16="","",'Eval Cases'!A16)</f>
        <v/>
      </c>
      <c r="B15" s="21">
        <f>IF(A15="","",'Eval Cases'!B16)</f>
        <v/>
      </c>
      <c r="C15" s="21">
        <f>IF(A15="","",'Eval Cases'!C16)</f>
        <v/>
      </c>
      <c r="D15" s="21">
        <f>IF(A15="","",COUNTIF(Runs!$A$5:$A$1004,A15))</f>
        <v/>
      </c>
      <c r="E15" s="21">
        <f>IF(A15="","",COUNTIFS(Runs!$A$5:$A$1004,A15,Runs!$I$5:$I$1004,"Pass"))</f>
        <v/>
      </c>
      <c r="F15" s="21">
        <f>IF(A15="","",COUNTIFS(Runs!$A$5:$A$1004,A15,Runs!$I$5:$I$1004,"Can't tell"))</f>
        <v/>
      </c>
      <c r="G15" s="22">
        <f>IF(A15="","",IF(D15-F15=0,"",E15/(D15-F15)))</f>
        <v/>
      </c>
      <c r="H15" s="21">
        <f>IF(A15="","",IF(D15=0,"Not run",IF(D15-E15-F15&gt;0,"No",IF(E15&gt;=3,"Yes","Needs 3 graded runs"))))</f>
        <v/>
      </c>
      <c r="L15" s="23" t="inlineStr">
        <is>
          <t>Grader agreement rate</t>
        </is>
      </c>
      <c r="M15" s="25">
        <f>Calibration!K4</f>
        <v/>
      </c>
      <c r="O15" s="21">
        <f>IF('Target Tasks'!A16="","",'Target Tasks'!A16)</f>
        <v/>
      </c>
      <c r="P15" s="21">
        <f>IF(O15="","",COUNTIF($B$4:$B$103,O15))</f>
        <v/>
      </c>
      <c r="Q15" s="21">
        <f>IF(O15="","",SUMIF($B$4:$B$103,O15,$D$4:$D$103)-SUMIF($B$4:$B$103,O15,$F$4:$F$103))</f>
        <v/>
      </c>
      <c r="R15" s="21">
        <f>IF(O15="","",SUMIF($B$4:$B$103,O15,$E$4:$E$103))</f>
        <v/>
      </c>
      <c r="S15" s="22">
        <f>IF(O15="","",IF(Q15=0,"",R15/Q15))</f>
        <v/>
      </c>
    </row>
    <row r="16">
      <c r="A16" s="21">
        <f>IF('Eval Cases'!A17="","",'Eval Cases'!A17)</f>
        <v/>
      </c>
      <c r="B16" s="21">
        <f>IF(A16="","",'Eval Cases'!B17)</f>
        <v/>
      </c>
      <c r="C16" s="21">
        <f>IF(A16="","",'Eval Cases'!C17)</f>
        <v/>
      </c>
      <c r="D16" s="21">
        <f>IF(A16="","",COUNTIF(Runs!$A$5:$A$1004,A16))</f>
        <v/>
      </c>
      <c r="E16" s="21">
        <f>IF(A16="","",COUNTIFS(Runs!$A$5:$A$1004,A16,Runs!$I$5:$I$1004,"Pass"))</f>
        <v/>
      </c>
      <c r="F16" s="21">
        <f>IF(A16="","",COUNTIFS(Runs!$A$5:$A$1004,A16,Runs!$I$5:$I$1004,"Can't tell"))</f>
        <v/>
      </c>
      <c r="G16" s="22">
        <f>IF(A16="","",IF(D16-F16=0,"",E16/(D16-F16)))</f>
        <v/>
      </c>
      <c r="H16" s="21">
        <f>IF(A16="","",IF(D16=0,"Not run",IF(D16-E16-F16&gt;0,"No",IF(E16&gt;=3,"Yes","Needs 3 graded runs"))))</f>
        <v/>
      </c>
      <c r="O16" s="21">
        <f>IF('Target Tasks'!A17="","",'Target Tasks'!A17)</f>
        <v/>
      </c>
      <c r="P16" s="21">
        <f>IF(O16="","",COUNTIF($B$4:$B$103,O16))</f>
        <v/>
      </c>
      <c r="Q16" s="21">
        <f>IF(O16="","",SUMIF($B$4:$B$103,O16,$D$4:$D$103)-SUMIF($B$4:$B$103,O16,$F$4:$F$103))</f>
        <v/>
      </c>
      <c r="R16" s="21">
        <f>IF(O16="","",SUMIF($B$4:$B$103,O16,$E$4:$E$103))</f>
        <v/>
      </c>
      <c r="S16" s="22">
        <f>IF(O16="","",IF(Q16=0,"",R16/Q16))</f>
        <v/>
      </c>
    </row>
    <row r="17">
      <c r="A17" s="21">
        <f>IF('Eval Cases'!A18="","",'Eval Cases'!A18)</f>
        <v/>
      </c>
      <c r="B17" s="21">
        <f>IF(A17="","",'Eval Cases'!B18)</f>
        <v/>
      </c>
      <c r="C17" s="21">
        <f>IF(A17="","",'Eval Cases'!C18)</f>
        <v/>
      </c>
      <c r="D17" s="21">
        <f>IF(A17="","",COUNTIF(Runs!$A$5:$A$1004,A17))</f>
        <v/>
      </c>
      <c r="E17" s="21">
        <f>IF(A17="","",COUNTIFS(Runs!$A$5:$A$1004,A17,Runs!$I$5:$I$1004,"Pass"))</f>
        <v/>
      </c>
      <c r="F17" s="21">
        <f>IF(A17="","",COUNTIFS(Runs!$A$5:$A$1004,A17,Runs!$I$5:$I$1004,"Can't tell"))</f>
        <v/>
      </c>
      <c r="G17" s="22">
        <f>IF(A17="","",IF(D17-F17=0,"",E17/(D17-F17)))</f>
        <v/>
      </c>
      <c r="H17" s="21">
        <f>IF(A17="","",IF(D17=0,"Not run",IF(D17-E17-F17&gt;0,"No",IF(E17&gt;=3,"Yes","Needs 3 graded runs"))))</f>
        <v/>
      </c>
      <c r="O17" s="21">
        <f>IF('Target Tasks'!A18="","",'Target Tasks'!A18)</f>
        <v/>
      </c>
      <c r="P17" s="21">
        <f>IF(O17="","",COUNTIF($B$4:$B$103,O17))</f>
        <v/>
      </c>
      <c r="Q17" s="21">
        <f>IF(O17="","",SUMIF($B$4:$B$103,O17,$D$4:$D$103)-SUMIF($B$4:$B$103,O17,$F$4:$F$103))</f>
        <v/>
      </c>
      <c r="R17" s="21">
        <f>IF(O17="","",SUMIF($B$4:$B$103,O17,$E$4:$E$103))</f>
        <v/>
      </c>
      <c r="S17" s="22">
        <f>IF(O17="","",IF(Q17=0,"",R17/Q17))</f>
        <v/>
      </c>
    </row>
    <row r="18">
      <c r="A18" s="21">
        <f>IF('Eval Cases'!A19="","",'Eval Cases'!A19)</f>
        <v/>
      </c>
      <c r="B18" s="21">
        <f>IF(A18="","",'Eval Cases'!B19)</f>
        <v/>
      </c>
      <c r="C18" s="21">
        <f>IF(A18="","",'Eval Cases'!C19)</f>
        <v/>
      </c>
      <c r="D18" s="21">
        <f>IF(A18="","",COUNTIF(Runs!$A$5:$A$1004,A18))</f>
        <v/>
      </c>
      <c r="E18" s="21">
        <f>IF(A18="","",COUNTIFS(Runs!$A$5:$A$1004,A18,Runs!$I$5:$I$1004,"Pass"))</f>
        <v/>
      </c>
      <c r="F18" s="21">
        <f>IF(A18="","",COUNTIFS(Runs!$A$5:$A$1004,A18,Runs!$I$5:$I$1004,"Can't tell"))</f>
        <v/>
      </c>
      <c r="G18" s="22">
        <f>IF(A18="","",IF(D18-F18=0,"",E18/(D18-F18)))</f>
        <v/>
      </c>
      <c r="H18" s="21">
        <f>IF(A18="","",IF(D18=0,"Not run",IF(D18-E18-F18&gt;0,"No",IF(E18&gt;=3,"Yes","Needs 3 graded runs"))))</f>
        <v/>
      </c>
      <c r="O18" s="21">
        <f>IF('Target Tasks'!A19="","",'Target Tasks'!A19)</f>
        <v/>
      </c>
      <c r="P18" s="21">
        <f>IF(O18="","",COUNTIF($B$4:$B$103,O18))</f>
        <v/>
      </c>
      <c r="Q18" s="21">
        <f>IF(O18="","",SUMIF($B$4:$B$103,O18,$D$4:$D$103)-SUMIF($B$4:$B$103,O18,$F$4:$F$103))</f>
        <v/>
      </c>
      <c r="R18" s="21">
        <f>IF(O18="","",SUMIF($B$4:$B$103,O18,$E$4:$E$103))</f>
        <v/>
      </c>
      <c r="S18" s="22">
        <f>IF(O18="","",IF(Q18=0,"",R18/Q18))</f>
        <v/>
      </c>
    </row>
    <row r="19">
      <c r="A19" s="21">
        <f>IF('Eval Cases'!A20="","",'Eval Cases'!A20)</f>
        <v/>
      </c>
      <c r="B19" s="21">
        <f>IF(A19="","",'Eval Cases'!B20)</f>
        <v/>
      </c>
      <c r="C19" s="21">
        <f>IF(A19="","",'Eval Cases'!C20)</f>
        <v/>
      </c>
      <c r="D19" s="21">
        <f>IF(A19="","",COUNTIF(Runs!$A$5:$A$1004,A19))</f>
        <v/>
      </c>
      <c r="E19" s="21">
        <f>IF(A19="","",COUNTIFS(Runs!$A$5:$A$1004,A19,Runs!$I$5:$I$1004,"Pass"))</f>
        <v/>
      </c>
      <c r="F19" s="21">
        <f>IF(A19="","",COUNTIFS(Runs!$A$5:$A$1004,A19,Runs!$I$5:$I$1004,"Can't tell"))</f>
        <v/>
      </c>
      <c r="G19" s="22">
        <f>IF(A19="","",IF(D19-F19=0,"",E19/(D19-F19)))</f>
        <v/>
      </c>
      <c r="H19" s="21">
        <f>IF(A19="","",IF(D19=0,"Not run",IF(D19-E19-F19&gt;0,"No",IF(E19&gt;=3,"Yes","Needs 3 graded runs"))))</f>
        <v/>
      </c>
      <c r="O19" s="21">
        <f>IF('Target Tasks'!A20="","",'Target Tasks'!A20)</f>
        <v/>
      </c>
      <c r="P19" s="21">
        <f>IF(O19="","",COUNTIF($B$4:$B$103,O19))</f>
        <v/>
      </c>
      <c r="Q19" s="21">
        <f>IF(O19="","",SUMIF($B$4:$B$103,O19,$D$4:$D$103)-SUMIF($B$4:$B$103,O19,$F$4:$F$103))</f>
        <v/>
      </c>
      <c r="R19" s="21">
        <f>IF(O19="","",SUMIF($B$4:$B$103,O19,$E$4:$E$103))</f>
        <v/>
      </c>
      <c r="S19" s="22">
        <f>IF(O19="","",IF(Q19=0,"",R19/Q19))</f>
        <v/>
      </c>
    </row>
    <row r="20">
      <c r="A20" s="21">
        <f>IF('Eval Cases'!A21="","",'Eval Cases'!A21)</f>
        <v/>
      </c>
      <c r="B20" s="21">
        <f>IF(A20="","",'Eval Cases'!B21)</f>
        <v/>
      </c>
      <c r="C20" s="21">
        <f>IF(A20="","",'Eval Cases'!C21)</f>
        <v/>
      </c>
      <c r="D20" s="21">
        <f>IF(A20="","",COUNTIF(Runs!$A$5:$A$1004,A20))</f>
        <v/>
      </c>
      <c r="E20" s="21">
        <f>IF(A20="","",COUNTIFS(Runs!$A$5:$A$1004,A20,Runs!$I$5:$I$1004,"Pass"))</f>
        <v/>
      </c>
      <c r="F20" s="21">
        <f>IF(A20="","",COUNTIFS(Runs!$A$5:$A$1004,A20,Runs!$I$5:$I$1004,"Can't tell"))</f>
        <v/>
      </c>
      <c r="G20" s="22">
        <f>IF(A20="","",IF(D20-F20=0,"",E20/(D20-F20)))</f>
        <v/>
      </c>
      <c r="H20" s="21">
        <f>IF(A20="","",IF(D20=0,"Not run",IF(D20-E20-F20&gt;0,"No",IF(E20&gt;=3,"Yes","Needs 3 graded runs"))))</f>
        <v/>
      </c>
      <c r="O20" s="21">
        <f>IF('Target Tasks'!A21="","",'Target Tasks'!A21)</f>
        <v/>
      </c>
      <c r="P20" s="21">
        <f>IF(O20="","",COUNTIF($B$4:$B$103,O20))</f>
        <v/>
      </c>
      <c r="Q20" s="21">
        <f>IF(O20="","",SUMIF($B$4:$B$103,O20,$D$4:$D$103)-SUMIF($B$4:$B$103,O20,$F$4:$F$103))</f>
        <v/>
      </c>
      <c r="R20" s="21">
        <f>IF(O20="","",SUMIF($B$4:$B$103,O20,$E$4:$E$103))</f>
        <v/>
      </c>
      <c r="S20" s="22">
        <f>IF(O20="","",IF(Q20=0,"",R20/Q20))</f>
        <v/>
      </c>
    </row>
    <row r="21">
      <c r="A21" s="21">
        <f>IF('Eval Cases'!A22="","",'Eval Cases'!A22)</f>
        <v/>
      </c>
      <c r="B21" s="21">
        <f>IF(A21="","",'Eval Cases'!B22)</f>
        <v/>
      </c>
      <c r="C21" s="21">
        <f>IF(A21="","",'Eval Cases'!C22)</f>
        <v/>
      </c>
      <c r="D21" s="21">
        <f>IF(A21="","",COUNTIF(Runs!$A$5:$A$1004,A21))</f>
        <v/>
      </c>
      <c r="E21" s="21">
        <f>IF(A21="","",COUNTIFS(Runs!$A$5:$A$1004,A21,Runs!$I$5:$I$1004,"Pass"))</f>
        <v/>
      </c>
      <c r="F21" s="21">
        <f>IF(A21="","",COUNTIFS(Runs!$A$5:$A$1004,A21,Runs!$I$5:$I$1004,"Can't tell"))</f>
        <v/>
      </c>
      <c r="G21" s="22">
        <f>IF(A21="","",IF(D21-F21=0,"",E21/(D21-F21)))</f>
        <v/>
      </c>
      <c r="H21" s="21">
        <f>IF(A21="","",IF(D21=0,"Not run",IF(D21-E21-F21&gt;0,"No",IF(E21&gt;=3,"Yes","Needs 3 graded runs"))))</f>
        <v/>
      </c>
      <c r="O21" s="21">
        <f>IF('Target Tasks'!A22="","",'Target Tasks'!A22)</f>
        <v/>
      </c>
      <c r="P21" s="21">
        <f>IF(O21="","",COUNTIF($B$4:$B$103,O21))</f>
        <v/>
      </c>
      <c r="Q21" s="21">
        <f>IF(O21="","",SUMIF($B$4:$B$103,O21,$D$4:$D$103)-SUMIF($B$4:$B$103,O21,$F$4:$F$103))</f>
        <v/>
      </c>
      <c r="R21" s="21">
        <f>IF(O21="","",SUMIF($B$4:$B$103,O21,$E$4:$E$103))</f>
        <v/>
      </c>
      <c r="S21" s="22">
        <f>IF(O21="","",IF(Q21=0,"",R21/Q21))</f>
        <v/>
      </c>
    </row>
    <row r="22">
      <c r="A22" s="21">
        <f>IF('Eval Cases'!A23="","",'Eval Cases'!A23)</f>
        <v/>
      </c>
      <c r="B22" s="21">
        <f>IF(A22="","",'Eval Cases'!B23)</f>
        <v/>
      </c>
      <c r="C22" s="21">
        <f>IF(A22="","",'Eval Cases'!C23)</f>
        <v/>
      </c>
      <c r="D22" s="21">
        <f>IF(A22="","",COUNTIF(Runs!$A$5:$A$1004,A22))</f>
        <v/>
      </c>
      <c r="E22" s="21">
        <f>IF(A22="","",COUNTIFS(Runs!$A$5:$A$1004,A22,Runs!$I$5:$I$1004,"Pass"))</f>
        <v/>
      </c>
      <c r="F22" s="21">
        <f>IF(A22="","",COUNTIFS(Runs!$A$5:$A$1004,A22,Runs!$I$5:$I$1004,"Can't tell"))</f>
        <v/>
      </c>
      <c r="G22" s="22">
        <f>IF(A22="","",IF(D22-F22=0,"",E22/(D22-F22)))</f>
        <v/>
      </c>
      <c r="H22" s="21">
        <f>IF(A22="","",IF(D22=0,"Not run",IF(D22-E22-F22&gt;0,"No",IF(E22&gt;=3,"Yes","Needs 3 graded runs"))))</f>
        <v/>
      </c>
      <c r="O22" s="21">
        <f>IF('Target Tasks'!A23="","",'Target Tasks'!A23)</f>
        <v/>
      </c>
      <c r="P22" s="21">
        <f>IF(O22="","",COUNTIF($B$4:$B$103,O22))</f>
        <v/>
      </c>
      <c r="Q22" s="21">
        <f>IF(O22="","",SUMIF($B$4:$B$103,O22,$D$4:$D$103)-SUMIF($B$4:$B$103,O22,$F$4:$F$103))</f>
        <v/>
      </c>
      <c r="R22" s="21">
        <f>IF(O22="","",SUMIF($B$4:$B$103,O22,$E$4:$E$103))</f>
        <v/>
      </c>
      <c r="S22" s="22">
        <f>IF(O22="","",IF(Q22=0,"",R22/Q22))</f>
        <v/>
      </c>
    </row>
    <row r="23">
      <c r="A23" s="21">
        <f>IF('Eval Cases'!A24="","",'Eval Cases'!A24)</f>
        <v/>
      </c>
      <c r="B23" s="21">
        <f>IF(A23="","",'Eval Cases'!B24)</f>
        <v/>
      </c>
      <c r="C23" s="21">
        <f>IF(A23="","",'Eval Cases'!C24)</f>
        <v/>
      </c>
      <c r="D23" s="21">
        <f>IF(A23="","",COUNTIF(Runs!$A$5:$A$1004,A23))</f>
        <v/>
      </c>
      <c r="E23" s="21">
        <f>IF(A23="","",COUNTIFS(Runs!$A$5:$A$1004,A23,Runs!$I$5:$I$1004,"Pass"))</f>
        <v/>
      </c>
      <c r="F23" s="21">
        <f>IF(A23="","",COUNTIFS(Runs!$A$5:$A$1004,A23,Runs!$I$5:$I$1004,"Can't tell"))</f>
        <v/>
      </c>
      <c r="G23" s="22">
        <f>IF(A23="","",IF(D23-F23=0,"",E23/(D23-F23)))</f>
        <v/>
      </c>
      <c r="H23" s="21">
        <f>IF(A23="","",IF(D23=0,"Not run",IF(D23-E23-F23&gt;0,"No",IF(E23&gt;=3,"Yes","Needs 3 graded runs"))))</f>
        <v/>
      </c>
      <c r="O23" s="21">
        <f>IF('Target Tasks'!A24="","",'Target Tasks'!A24)</f>
        <v/>
      </c>
      <c r="P23" s="21">
        <f>IF(O23="","",COUNTIF($B$4:$B$103,O23))</f>
        <v/>
      </c>
      <c r="Q23" s="21">
        <f>IF(O23="","",SUMIF($B$4:$B$103,O23,$D$4:$D$103)-SUMIF($B$4:$B$103,O23,$F$4:$F$103))</f>
        <v/>
      </c>
      <c r="R23" s="21">
        <f>IF(O23="","",SUMIF($B$4:$B$103,O23,$E$4:$E$103))</f>
        <v/>
      </c>
      <c r="S23" s="22">
        <f>IF(O23="","",IF(Q23=0,"",R23/Q23))</f>
        <v/>
      </c>
    </row>
    <row r="24">
      <c r="A24" s="21">
        <f>IF('Eval Cases'!A25="","",'Eval Cases'!A25)</f>
        <v/>
      </c>
      <c r="B24" s="21">
        <f>IF(A24="","",'Eval Cases'!B25)</f>
        <v/>
      </c>
      <c r="C24" s="21">
        <f>IF(A24="","",'Eval Cases'!C25)</f>
        <v/>
      </c>
      <c r="D24" s="21">
        <f>IF(A24="","",COUNTIF(Runs!$A$5:$A$1004,A24))</f>
        <v/>
      </c>
      <c r="E24" s="21">
        <f>IF(A24="","",COUNTIFS(Runs!$A$5:$A$1004,A24,Runs!$I$5:$I$1004,"Pass"))</f>
        <v/>
      </c>
      <c r="F24" s="21">
        <f>IF(A24="","",COUNTIFS(Runs!$A$5:$A$1004,A24,Runs!$I$5:$I$1004,"Can't tell"))</f>
        <v/>
      </c>
      <c r="G24" s="22">
        <f>IF(A24="","",IF(D24-F24=0,"",E24/(D24-F24)))</f>
        <v/>
      </c>
      <c r="H24" s="21">
        <f>IF(A24="","",IF(D24=0,"Not run",IF(D24-E24-F24&gt;0,"No",IF(E24&gt;=3,"Yes","Needs 3 graded runs"))))</f>
        <v/>
      </c>
    </row>
    <row r="25">
      <c r="A25" s="21">
        <f>IF('Eval Cases'!A26="","",'Eval Cases'!A26)</f>
        <v/>
      </c>
      <c r="B25" s="21">
        <f>IF(A25="","",'Eval Cases'!B26)</f>
        <v/>
      </c>
      <c r="C25" s="21">
        <f>IF(A25="","",'Eval Cases'!C26)</f>
        <v/>
      </c>
      <c r="D25" s="21">
        <f>IF(A25="","",COUNTIF(Runs!$A$5:$A$1004,A25))</f>
        <v/>
      </c>
      <c r="E25" s="21">
        <f>IF(A25="","",COUNTIFS(Runs!$A$5:$A$1004,A25,Runs!$I$5:$I$1004,"Pass"))</f>
        <v/>
      </c>
      <c r="F25" s="21">
        <f>IF(A25="","",COUNTIFS(Runs!$A$5:$A$1004,A25,Runs!$I$5:$I$1004,"Can't tell"))</f>
        <v/>
      </c>
      <c r="G25" s="22">
        <f>IF(A25="","",IF(D25-F25=0,"",E25/(D25-F25)))</f>
        <v/>
      </c>
      <c r="H25" s="21">
        <f>IF(A25="","",IF(D25=0,"Not run",IF(D25-E25-F25&gt;0,"No",IF(E25&gt;=3,"Yes","Needs 3 graded runs"))))</f>
        <v/>
      </c>
    </row>
    <row r="26">
      <c r="A26" s="21">
        <f>IF('Eval Cases'!A27="","",'Eval Cases'!A27)</f>
        <v/>
      </c>
      <c r="B26" s="21">
        <f>IF(A26="","",'Eval Cases'!B27)</f>
        <v/>
      </c>
      <c r="C26" s="21">
        <f>IF(A26="","",'Eval Cases'!C27)</f>
        <v/>
      </c>
      <c r="D26" s="21">
        <f>IF(A26="","",COUNTIF(Runs!$A$5:$A$1004,A26))</f>
        <v/>
      </c>
      <c r="E26" s="21">
        <f>IF(A26="","",COUNTIFS(Runs!$A$5:$A$1004,A26,Runs!$I$5:$I$1004,"Pass"))</f>
        <v/>
      </c>
      <c r="F26" s="21">
        <f>IF(A26="","",COUNTIFS(Runs!$A$5:$A$1004,A26,Runs!$I$5:$I$1004,"Can't tell"))</f>
        <v/>
      </c>
      <c r="G26" s="22">
        <f>IF(A26="","",IF(D26-F26=0,"",E26/(D26-F26)))</f>
        <v/>
      </c>
      <c r="H26" s="21">
        <f>IF(A26="","",IF(D26=0,"Not run",IF(D26-E26-F26&gt;0,"No",IF(E26&gt;=3,"Yes","Needs 3 graded runs"))))</f>
        <v/>
      </c>
    </row>
    <row r="27">
      <c r="A27" s="21">
        <f>IF('Eval Cases'!A28="","",'Eval Cases'!A28)</f>
        <v/>
      </c>
      <c r="B27" s="21">
        <f>IF(A27="","",'Eval Cases'!B28)</f>
        <v/>
      </c>
      <c r="C27" s="21">
        <f>IF(A27="","",'Eval Cases'!C28)</f>
        <v/>
      </c>
      <c r="D27" s="21">
        <f>IF(A27="","",COUNTIF(Runs!$A$5:$A$1004,A27))</f>
        <v/>
      </c>
      <c r="E27" s="21">
        <f>IF(A27="","",COUNTIFS(Runs!$A$5:$A$1004,A27,Runs!$I$5:$I$1004,"Pass"))</f>
        <v/>
      </c>
      <c r="F27" s="21">
        <f>IF(A27="","",COUNTIFS(Runs!$A$5:$A$1004,A27,Runs!$I$5:$I$1004,"Can't tell"))</f>
        <v/>
      </c>
      <c r="G27" s="22">
        <f>IF(A27="","",IF(D27-F27=0,"",E27/(D27-F27)))</f>
        <v/>
      </c>
      <c r="H27" s="21">
        <f>IF(A27="","",IF(D27=0,"Not run",IF(D27-E27-F27&gt;0,"No",IF(E27&gt;=3,"Yes","Needs 3 graded runs"))))</f>
        <v/>
      </c>
    </row>
    <row r="28">
      <c r="A28" s="21">
        <f>IF('Eval Cases'!A29="","",'Eval Cases'!A29)</f>
        <v/>
      </c>
      <c r="B28" s="21">
        <f>IF(A28="","",'Eval Cases'!B29)</f>
        <v/>
      </c>
      <c r="C28" s="21">
        <f>IF(A28="","",'Eval Cases'!C29)</f>
        <v/>
      </c>
      <c r="D28" s="21">
        <f>IF(A28="","",COUNTIF(Runs!$A$5:$A$1004,A28))</f>
        <v/>
      </c>
      <c r="E28" s="21">
        <f>IF(A28="","",COUNTIFS(Runs!$A$5:$A$1004,A28,Runs!$I$5:$I$1004,"Pass"))</f>
        <v/>
      </c>
      <c r="F28" s="21">
        <f>IF(A28="","",COUNTIFS(Runs!$A$5:$A$1004,A28,Runs!$I$5:$I$1004,"Can't tell"))</f>
        <v/>
      </c>
      <c r="G28" s="22">
        <f>IF(A28="","",IF(D28-F28=0,"",E28/(D28-F28)))</f>
        <v/>
      </c>
      <c r="H28" s="21">
        <f>IF(A28="","",IF(D28=0,"Not run",IF(D28-E28-F28&gt;0,"No",IF(E28&gt;=3,"Yes","Needs 3 graded runs"))))</f>
        <v/>
      </c>
    </row>
    <row r="29">
      <c r="A29" s="21">
        <f>IF('Eval Cases'!A30="","",'Eval Cases'!A30)</f>
        <v/>
      </c>
      <c r="B29" s="21">
        <f>IF(A29="","",'Eval Cases'!B30)</f>
        <v/>
      </c>
      <c r="C29" s="21">
        <f>IF(A29="","",'Eval Cases'!C30)</f>
        <v/>
      </c>
      <c r="D29" s="21">
        <f>IF(A29="","",COUNTIF(Runs!$A$5:$A$1004,A29))</f>
        <v/>
      </c>
      <c r="E29" s="21">
        <f>IF(A29="","",COUNTIFS(Runs!$A$5:$A$1004,A29,Runs!$I$5:$I$1004,"Pass"))</f>
        <v/>
      </c>
      <c r="F29" s="21">
        <f>IF(A29="","",COUNTIFS(Runs!$A$5:$A$1004,A29,Runs!$I$5:$I$1004,"Can't tell"))</f>
        <v/>
      </c>
      <c r="G29" s="22">
        <f>IF(A29="","",IF(D29-F29=0,"",E29/(D29-F29)))</f>
        <v/>
      </c>
      <c r="H29" s="21">
        <f>IF(A29="","",IF(D29=0,"Not run",IF(D29-E29-F29&gt;0,"No",IF(E29&gt;=3,"Yes","Needs 3 graded runs"))))</f>
        <v/>
      </c>
    </row>
    <row r="30">
      <c r="A30" s="21">
        <f>IF('Eval Cases'!A31="","",'Eval Cases'!A31)</f>
        <v/>
      </c>
      <c r="B30" s="21">
        <f>IF(A30="","",'Eval Cases'!B31)</f>
        <v/>
      </c>
      <c r="C30" s="21">
        <f>IF(A30="","",'Eval Cases'!C31)</f>
        <v/>
      </c>
      <c r="D30" s="21">
        <f>IF(A30="","",COUNTIF(Runs!$A$5:$A$1004,A30))</f>
        <v/>
      </c>
      <c r="E30" s="21">
        <f>IF(A30="","",COUNTIFS(Runs!$A$5:$A$1004,A30,Runs!$I$5:$I$1004,"Pass"))</f>
        <v/>
      </c>
      <c r="F30" s="21">
        <f>IF(A30="","",COUNTIFS(Runs!$A$5:$A$1004,A30,Runs!$I$5:$I$1004,"Can't tell"))</f>
        <v/>
      </c>
      <c r="G30" s="22">
        <f>IF(A30="","",IF(D30-F30=0,"",E30/(D30-F30)))</f>
        <v/>
      </c>
      <c r="H30" s="21">
        <f>IF(A30="","",IF(D30=0,"Not run",IF(D30-E30-F30&gt;0,"No",IF(E30&gt;=3,"Yes","Needs 3 graded runs"))))</f>
        <v/>
      </c>
    </row>
    <row r="31">
      <c r="A31" s="21">
        <f>IF('Eval Cases'!A32="","",'Eval Cases'!A32)</f>
        <v/>
      </c>
      <c r="B31" s="21">
        <f>IF(A31="","",'Eval Cases'!B32)</f>
        <v/>
      </c>
      <c r="C31" s="21">
        <f>IF(A31="","",'Eval Cases'!C32)</f>
        <v/>
      </c>
      <c r="D31" s="21">
        <f>IF(A31="","",COUNTIF(Runs!$A$5:$A$1004,A31))</f>
        <v/>
      </c>
      <c r="E31" s="21">
        <f>IF(A31="","",COUNTIFS(Runs!$A$5:$A$1004,A31,Runs!$I$5:$I$1004,"Pass"))</f>
        <v/>
      </c>
      <c r="F31" s="21">
        <f>IF(A31="","",COUNTIFS(Runs!$A$5:$A$1004,A31,Runs!$I$5:$I$1004,"Can't tell"))</f>
        <v/>
      </c>
      <c r="G31" s="22">
        <f>IF(A31="","",IF(D31-F31=0,"",E31/(D31-F31)))</f>
        <v/>
      </c>
      <c r="H31" s="21">
        <f>IF(A31="","",IF(D31=0,"Not run",IF(D31-E31-F31&gt;0,"No",IF(E31&gt;=3,"Yes","Needs 3 graded runs"))))</f>
        <v/>
      </c>
    </row>
    <row r="32">
      <c r="A32" s="21">
        <f>IF('Eval Cases'!A33="","",'Eval Cases'!A33)</f>
        <v/>
      </c>
      <c r="B32" s="21">
        <f>IF(A32="","",'Eval Cases'!B33)</f>
        <v/>
      </c>
      <c r="C32" s="21">
        <f>IF(A32="","",'Eval Cases'!C33)</f>
        <v/>
      </c>
      <c r="D32" s="21">
        <f>IF(A32="","",COUNTIF(Runs!$A$5:$A$1004,A32))</f>
        <v/>
      </c>
      <c r="E32" s="21">
        <f>IF(A32="","",COUNTIFS(Runs!$A$5:$A$1004,A32,Runs!$I$5:$I$1004,"Pass"))</f>
        <v/>
      </c>
      <c r="F32" s="21">
        <f>IF(A32="","",COUNTIFS(Runs!$A$5:$A$1004,A32,Runs!$I$5:$I$1004,"Can't tell"))</f>
        <v/>
      </c>
      <c r="G32" s="22">
        <f>IF(A32="","",IF(D32-F32=0,"",E32/(D32-F32)))</f>
        <v/>
      </c>
      <c r="H32" s="21">
        <f>IF(A32="","",IF(D32=0,"Not run",IF(D32-E32-F32&gt;0,"No",IF(E32&gt;=3,"Yes","Needs 3 graded runs"))))</f>
        <v/>
      </c>
    </row>
    <row r="33">
      <c r="A33" s="21">
        <f>IF('Eval Cases'!A34="","",'Eval Cases'!A34)</f>
        <v/>
      </c>
      <c r="B33" s="21">
        <f>IF(A33="","",'Eval Cases'!B34)</f>
        <v/>
      </c>
      <c r="C33" s="21">
        <f>IF(A33="","",'Eval Cases'!C34)</f>
        <v/>
      </c>
      <c r="D33" s="21">
        <f>IF(A33="","",COUNTIF(Runs!$A$5:$A$1004,A33))</f>
        <v/>
      </c>
      <c r="E33" s="21">
        <f>IF(A33="","",COUNTIFS(Runs!$A$5:$A$1004,A33,Runs!$I$5:$I$1004,"Pass"))</f>
        <v/>
      </c>
      <c r="F33" s="21">
        <f>IF(A33="","",COUNTIFS(Runs!$A$5:$A$1004,A33,Runs!$I$5:$I$1004,"Can't tell"))</f>
        <v/>
      </c>
      <c r="G33" s="22">
        <f>IF(A33="","",IF(D33-F33=0,"",E33/(D33-F33)))</f>
        <v/>
      </c>
      <c r="H33" s="21">
        <f>IF(A33="","",IF(D33=0,"Not run",IF(D33-E33-F33&gt;0,"No",IF(E33&gt;=3,"Yes","Needs 3 graded runs"))))</f>
        <v/>
      </c>
    </row>
    <row r="34">
      <c r="A34" s="21">
        <f>IF('Eval Cases'!A35="","",'Eval Cases'!A35)</f>
        <v/>
      </c>
      <c r="B34" s="21">
        <f>IF(A34="","",'Eval Cases'!B35)</f>
        <v/>
      </c>
      <c r="C34" s="21">
        <f>IF(A34="","",'Eval Cases'!C35)</f>
        <v/>
      </c>
      <c r="D34" s="21">
        <f>IF(A34="","",COUNTIF(Runs!$A$5:$A$1004,A34))</f>
        <v/>
      </c>
      <c r="E34" s="21">
        <f>IF(A34="","",COUNTIFS(Runs!$A$5:$A$1004,A34,Runs!$I$5:$I$1004,"Pass"))</f>
        <v/>
      </c>
      <c r="F34" s="21">
        <f>IF(A34="","",COUNTIFS(Runs!$A$5:$A$1004,A34,Runs!$I$5:$I$1004,"Can't tell"))</f>
        <v/>
      </c>
      <c r="G34" s="22">
        <f>IF(A34="","",IF(D34-F34=0,"",E34/(D34-F34)))</f>
        <v/>
      </c>
      <c r="H34" s="21">
        <f>IF(A34="","",IF(D34=0,"Not run",IF(D34-E34-F34&gt;0,"No",IF(E34&gt;=3,"Yes","Needs 3 graded runs"))))</f>
        <v/>
      </c>
    </row>
    <row r="35">
      <c r="A35" s="21">
        <f>IF('Eval Cases'!A36="","",'Eval Cases'!A36)</f>
        <v/>
      </c>
      <c r="B35" s="21">
        <f>IF(A35="","",'Eval Cases'!B36)</f>
        <v/>
      </c>
      <c r="C35" s="21">
        <f>IF(A35="","",'Eval Cases'!C36)</f>
        <v/>
      </c>
      <c r="D35" s="21">
        <f>IF(A35="","",COUNTIF(Runs!$A$5:$A$1004,A35))</f>
        <v/>
      </c>
      <c r="E35" s="21">
        <f>IF(A35="","",COUNTIFS(Runs!$A$5:$A$1004,A35,Runs!$I$5:$I$1004,"Pass"))</f>
        <v/>
      </c>
      <c r="F35" s="21">
        <f>IF(A35="","",COUNTIFS(Runs!$A$5:$A$1004,A35,Runs!$I$5:$I$1004,"Can't tell"))</f>
        <v/>
      </c>
      <c r="G35" s="22">
        <f>IF(A35="","",IF(D35-F35=0,"",E35/(D35-F35)))</f>
        <v/>
      </c>
      <c r="H35" s="21">
        <f>IF(A35="","",IF(D35=0,"Not run",IF(D35-E35-F35&gt;0,"No",IF(E35&gt;=3,"Yes","Needs 3 graded runs"))))</f>
        <v/>
      </c>
    </row>
    <row r="36">
      <c r="A36" s="21">
        <f>IF('Eval Cases'!A37="","",'Eval Cases'!A37)</f>
        <v/>
      </c>
      <c r="B36" s="21">
        <f>IF(A36="","",'Eval Cases'!B37)</f>
        <v/>
      </c>
      <c r="C36" s="21">
        <f>IF(A36="","",'Eval Cases'!C37)</f>
        <v/>
      </c>
      <c r="D36" s="21">
        <f>IF(A36="","",COUNTIF(Runs!$A$5:$A$1004,A36))</f>
        <v/>
      </c>
      <c r="E36" s="21">
        <f>IF(A36="","",COUNTIFS(Runs!$A$5:$A$1004,A36,Runs!$I$5:$I$1004,"Pass"))</f>
        <v/>
      </c>
      <c r="F36" s="21">
        <f>IF(A36="","",COUNTIFS(Runs!$A$5:$A$1004,A36,Runs!$I$5:$I$1004,"Can't tell"))</f>
        <v/>
      </c>
      <c r="G36" s="22">
        <f>IF(A36="","",IF(D36-F36=0,"",E36/(D36-F36)))</f>
        <v/>
      </c>
      <c r="H36" s="21">
        <f>IF(A36="","",IF(D36=0,"Not run",IF(D36-E36-F36&gt;0,"No",IF(E36&gt;=3,"Yes","Needs 3 graded runs"))))</f>
        <v/>
      </c>
    </row>
    <row r="37">
      <c r="A37" s="21">
        <f>IF('Eval Cases'!A38="","",'Eval Cases'!A38)</f>
        <v/>
      </c>
      <c r="B37" s="21">
        <f>IF(A37="","",'Eval Cases'!B38)</f>
        <v/>
      </c>
      <c r="C37" s="21">
        <f>IF(A37="","",'Eval Cases'!C38)</f>
        <v/>
      </c>
      <c r="D37" s="21">
        <f>IF(A37="","",COUNTIF(Runs!$A$5:$A$1004,A37))</f>
        <v/>
      </c>
      <c r="E37" s="21">
        <f>IF(A37="","",COUNTIFS(Runs!$A$5:$A$1004,A37,Runs!$I$5:$I$1004,"Pass"))</f>
        <v/>
      </c>
      <c r="F37" s="21">
        <f>IF(A37="","",COUNTIFS(Runs!$A$5:$A$1004,A37,Runs!$I$5:$I$1004,"Can't tell"))</f>
        <v/>
      </c>
      <c r="G37" s="22">
        <f>IF(A37="","",IF(D37-F37=0,"",E37/(D37-F37)))</f>
        <v/>
      </c>
      <c r="H37" s="21">
        <f>IF(A37="","",IF(D37=0,"Not run",IF(D37-E37-F37&gt;0,"No",IF(E37&gt;=3,"Yes","Needs 3 graded runs"))))</f>
        <v/>
      </c>
    </row>
    <row r="38">
      <c r="A38" s="21">
        <f>IF('Eval Cases'!A39="","",'Eval Cases'!A39)</f>
        <v/>
      </c>
      <c r="B38" s="21">
        <f>IF(A38="","",'Eval Cases'!B39)</f>
        <v/>
      </c>
      <c r="C38" s="21">
        <f>IF(A38="","",'Eval Cases'!C39)</f>
        <v/>
      </c>
      <c r="D38" s="21">
        <f>IF(A38="","",COUNTIF(Runs!$A$5:$A$1004,A38))</f>
        <v/>
      </c>
      <c r="E38" s="21">
        <f>IF(A38="","",COUNTIFS(Runs!$A$5:$A$1004,A38,Runs!$I$5:$I$1004,"Pass"))</f>
        <v/>
      </c>
      <c r="F38" s="21">
        <f>IF(A38="","",COUNTIFS(Runs!$A$5:$A$1004,A38,Runs!$I$5:$I$1004,"Can't tell"))</f>
        <v/>
      </c>
      <c r="G38" s="22">
        <f>IF(A38="","",IF(D38-F38=0,"",E38/(D38-F38)))</f>
        <v/>
      </c>
      <c r="H38" s="21">
        <f>IF(A38="","",IF(D38=0,"Not run",IF(D38-E38-F38&gt;0,"No",IF(E38&gt;=3,"Yes","Needs 3 graded runs"))))</f>
        <v/>
      </c>
    </row>
    <row r="39">
      <c r="A39" s="21">
        <f>IF('Eval Cases'!A40="","",'Eval Cases'!A40)</f>
        <v/>
      </c>
      <c r="B39" s="21">
        <f>IF(A39="","",'Eval Cases'!B40)</f>
        <v/>
      </c>
      <c r="C39" s="21">
        <f>IF(A39="","",'Eval Cases'!C40)</f>
        <v/>
      </c>
      <c r="D39" s="21">
        <f>IF(A39="","",COUNTIF(Runs!$A$5:$A$1004,A39))</f>
        <v/>
      </c>
      <c r="E39" s="21">
        <f>IF(A39="","",COUNTIFS(Runs!$A$5:$A$1004,A39,Runs!$I$5:$I$1004,"Pass"))</f>
        <v/>
      </c>
      <c r="F39" s="21">
        <f>IF(A39="","",COUNTIFS(Runs!$A$5:$A$1004,A39,Runs!$I$5:$I$1004,"Can't tell"))</f>
        <v/>
      </c>
      <c r="G39" s="22">
        <f>IF(A39="","",IF(D39-F39=0,"",E39/(D39-F39)))</f>
        <v/>
      </c>
      <c r="H39" s="21">
        <f>IF(A39="","",IF(D39=0,"Not run",IF(D39-E39-F39&gt;0,"No",IF(E39&gt;=3,"Yes","Needs 3 graded runs"))))</f>
        <v/>
      </c>
    </row>
    <row r="40">
      <c r="A40" s="21">
        <f>IF('Eval Cases'!A41="","",'Eval Cases'!A41)</f>
        <v/>
      </c>
      <c r="B40" s="21">
        <f>IF(A40="","",'Eval Cases'!B41)</f>
        <v/>
      </c>
      <c r="C40" s="21">
        <f>IF(A40="","",'Eval Cases'!C41)</f>
        <v/>
      </c>
      <c r="D40" s="21">
        <f>IF(A40="","",COUNTIF(Runs!$A$5:$A$1004,A40))</f>
        <v/>
      </c>
      <c r="E40" s="21">
        <f>IF(A40="","",COUNTIFS(Runs!$A$5:$A$1004,A40,Runs!$I$5:$I$1004,"Pass"))</f>
        <v/>
      </c>
      <c r="F40" s="21">
        <f>IF(A40="","",COUNTIFS(Runs!$A$5:$A$1004,A40,Runs!$I$5:$I$1004,"Can't tell"))</f>
        <v/>
      </c>
      <c r="G40" s="22">
        <f>IF(A40="","",IF(D40-F40=0,"",E40/(D40-F40)))</f>
        <v/>
      </c>
      <c r="H40" s="21">
        <f>IF(A40="","",IF(D40=0,"Not run",IF(D40-E40-F40&gt;0,"No",IF(E40&gt;=3,"Yes","Needs 3 graded runs"))))</f>
        <v/>
      </c>
    </row>
    <row r="41">
      <c r="A41" s="21">
        <f>IF('Eval Cases'!A42="","",'Eval Cases'!A42)</f>
        <v/>
      </c>
      <c r="B41" s="21">
        <f>IF(A41="","",'Eval Cases'!B42)</f>
        <v/>
      </c>
      <c r="C41" s="21">
        <f>IF(A41="","",'Eval Cases'!C42)</f>
        <v/>
      </c>
      <c r="D41" s="21">
        <f>IF(A41="","",COUNTIF(Runs!$A$5:$A$1004,A41))</f>
        <v/>
      </c>
      <c r="E41" s="21">
        <f>IF(A41="","",COUNTIFS(Runs!$A$5:$A$1004,A41,Runs!$I$5:$I$1004,"Pass"))</f>
        <v/>
      </c>
      <c r="F41" s="21">
        <f>IF(A41="","",COUNTIFS(Runs!$A$5:$A$1004,A41,Runs!$I$5:$I$1004,"Can't tell"))</f>
        <v/>
      </c>
      <c r="G41" s="22">
        <f>IF(A41="","",IF(D41-F41=0,"",E41/(D41-F41)))</f>
        <v/>
      </c>
      <c r="H41" s="21">
        <f>IF(A41="","",IF(D41=0,"Not run",IF(D41-E41-F41&gt;0,"No",IF(E41&gt;=3,"Yes","Needs 3 graded runs"))))</f>
        <v/>
      </c>
    </row>
    <row r="42">
      <c r="A42" s="21">
        <f>IF('Eval Cases'!A43="","",'Eval Cases'!A43)</f>
        <v/>
      </c>
      <c r="B42" s="21">
        <f>IF(A42="","",'Eval Cases'!B43)</f>
        <v/>
      </c>
      <c r="C42" s="21">
        <f>IF(A42="","",'Eval Cases'!C43)</f>
        <v/>
      </c>
      <c r="D42" s="21">
        <f>IF(A42="","",COUNTIF(Runs!$A$5:$A$1004,A42))</f>
        <v/>
      </c>
      <c r="E42" s="21">
        <f>IF(A42="","",COUNTIFS(Runs!$A$5:$A$1004,A42,Runs!$I$5:$I$1004,"Pass"))</f>
        <v/>
      </c>
      <c r="F42" s="21">
        <f>IF(A42="","",COUNTIFS(Runs!$A$5:$A$1004,A42,Runs!$I$5:$I$1004,"Can't tell"))</f>
        <v/>
      </c>
      <c r="G42" s="22">
        <f>IF(A42="","",IF(D42-F42=0,"",E42/(D42-F42)))</f>
        <v/>
      </c>
      <c r="H42" s="21">
        <f>IF(A42="","",IF(D42=0,"Not run",IF(D42-E42-F42&gt;0,"No",IF(E42&gt;=3,"Yes","Needs 3 graded runs"))))</f>
        <v/>
      </c>
    </row>
    <row r="43">
      <c r="A43" s="21">
        <f>IF('Eval Cases'!A44="","",'Eval Cases'!A44)</f>
        <v/>
      </c>
      <c r="B43" s="21">
        <f>IF(A43="","",'Eval Cases'!B44)</f>
        <v/>
      </c>
      <c r="C43" s="21">
        <f>IF(A43="","",'Eval Cases'!C44)</f>
        <v/>
      </c>
      <c r="D43" s="21">
        <f>IF(A43="","",COUNTIF(Runs!$A$5:$A$1004,A43))</f>
        <v/>
      </c>
      <c r="E43" s="21">
        <f>IF(A43="","",COUNTIFS(Runs!$A$5:$A$1004,A43,Runs!$I$5:$I$1004,"Pass"))</f>
        <v/>
      </c>
      <c r="F43" s="21">
        <f>IF(A43="","",COUNTIFS(Runs!$A$5:$A$1004,A43,Runs!$I$5:$I$1004,"Can't tell"))</f>
        <v/>
      </c>
      <c r="G43" s="22">
        <f>IF(A43="","",IF(D43-F43=0,"",E43/(D43-F43)))</f>
        <v/>
      </c>
      <c r="H43" s="21">
        <f>IF(A43="","",IF(D43=0,"Not run",IF(D43-E43-F43&gt;0,"No",IF(E43&gt;=3,"Yes","Needs 3 graded runs"))))</f>
        <v/>
      </c>
    </row>
    <row r="44">
      <c r="A44" s="21">
        <f>IF('Eval Cases'!A45="","",'Eval Cases'!A45)</f>
        <v/>
      </c>
      <c r="B44" s="21">
        <f>IF(A44="","",'Eval Cases'!B45)</f>
        <v/>
      </c>
      <c r="C44" s="21">
        <f>IF(A44="","",'Eval Cases'!C45)</f>
        <v/>
      </c>
      <c r="D44" s="21">
        <f>IF(A44="","",COUNTIF(Runs!$A$5:$A$1004,A44))</f>
        <v/>
      </c>
      <c r="E44" s="21">
        <f>IF(A44="","",COUNTIFS(Runs!$A$5:$A$1004,A44,Runs!$I$5:$I$1004,"Pass"))</f>
        <v/>
      </c>
      <c r="F44" s="21">
        <f>IF(A44="","",COUNTIFS(Runs!$A$5:$A$1004,A44,Runs!$I$5:$I$1004,"Can't tell"))</f>
        <v/>
      </c>
      <c r="G44" s="22">
        <f>IF(A44="","",IF(D44-F44=0,"",E44/(D44-F44)))</f>
        <v/>
      </c>
      <c r="H44" s="21">
        <f>IF(A44="","",IF(D44=0,"Not run",IF(D44-E44-F44&gt;0,"No",IF(E44&gt;=3,"Yes","Needs 3 graded runs"))))</f>
        <v/>
      </c>
    </row>
    <row r="45">
      <c r="A45" s="21">
        <f>IF('Eval Cases'!A46="","",'Eval Cases'!A46)</f>
        <v/>
      </c>
      <c r="B45" s="21">
        <f>IF(A45="","",'Eval Cases'!B46)</f>
        <v/>
      </c>
      <c r="C45" s="21">
        <f>IF(A45="","",'Eval Cases'!C46)</f>
        <v/>
      </c>
      <c r="D45" s="21">
        <f>IF(A45="","",COUNTIF(Runs!$A$5:$A$1004,A45))</f>
        <v/>
      </c>
      <c r="E45" s="21">
        <f>IF(A45="","",COUNTIFS(Runs!$A$5:$A$1004,A45,Runs!$I$5:$I$1004,"Pass"))</f>
        <v/>
      </c>
      <c r="F45" s="21">
        <f>IF(A45="","",COUNTIFS(Runs!$A$5:$A$1004,A45,Runs!$I$5:$I$1004,"Can't tell"))</f>
        <v/>
      </c>
      <c r="G45" s="22">
        <f>IF(A45="","",IF(D45-F45=0,"",E45/(D45-F45)))</f>
        <v/>
      </c>
      <c r="H45" s="21">
        <f>IF(A45="","",IF(D45=0,"Not run",IF(D45-E45-F45&gt;0,"No",IF(E45&gt;=3,"Yes","Needs 3 graded runs"))))</f>
        <v/>
      </c>
    </row>
    <row r="46">
      <c r="A46" s="21">
        <f>IF('Eval Cases'!A47="","",'Eval Cases'!A47)</f>
        <v/>
      </c>
      <c r="B46" s="21">
        <f>IF(A46="","",'Eval Cases'!B47)</f>
        <v/>
      </c>
      <c r="C46" s="21">
        <f>IF(A46="","",'Eval Cases'!C47)</f>
        <v/>
      </c>
      <c r="D46" s="21">
        <f>IF(A46="","",COUNTIF(Runs!$A$5:$A$1004,A46))</f>
        <v/>
      </c>
      <c r="E46" s="21">
        <f>IF(A46="","",COUNTIFS(Runs!$A$5:$A$1004,A46,Runs!$I$5:$I$1004,"Pass"))</f>
        <v/>
      </c>
      <c r="F46" s="21">
        <f>IF(A46="","",COUNTIFS(Runs!$A$5:$A$1004,A46,Runs!$I$5:$I$1004,"Can't tell"))</f>
        <v/>
      </c>
      <c r="G46" s="22">
        <f>IF(A46="","",IF(D46-F46=0,"",E46/(D46-F46)))</f>
        <v/>
      </c>
      <c r="H46" s="21">
        <f>IF(A46="","",IF(D46=0,"Not run",IF(D46-E46-F46&gt;0,"No",IF(E46&gt;=3,"Yes","Needs 3 graded runs"))))</f>
        <v/>
      </c>
    </row>
    <row r="47">
      <c r="A47" s="21">
        <f>IF('Eval Cases'!A48="","",'Eval Cases'!A48)</f>
        <v/>
      </c>
      <c r="B47" s="21">
        <f>IF(A47="","",'Eval Cases'!B48)</f>
        <v/>
      </c>
      <c r="C47" s="21">
        <f>IF(A47="","",'Eval Cases'!C48)</f>
        <v/>
      </c>
      <c r="D47" s="21">
        <f>IF(A47="","",COUNTIF(Runs!$A$5:$A$1004,A47))</f>
        <v/>
      </c>
      <c r="E47" s="21">
        <f>IF(A47="","",COUNTIFS(Runs!$A$5:$A$1004,A47,Runs!$I$5:$I$1004,"Pass"))</f>
        <v/>
      </c>
      <c r="F47" s="21">
        <f>IF(A47="","",COUNTIFS(Runs!$A$5:$A$1004,A47,Runs!$I$5:$I$1004,"Can't tell"))</f>
        <v/>
      </c>
      <c r="G47" s="22">
        <f>IF(A47="","",IF(D47-F47=0,"",E47/(D47-F47)))</f>
        <v/>
      </c>
      <c r="H47" s="21">
        <f>IF(A47="","",IF(D47=0,"Not run",IF(D47-E47-F47&gt;0,"No",IF(E47&gt;=3,"Yes","Needs 3 graded runs"))))</f>
        <v/>
      </c>
    </row>
    <row r="48">
      <c r="A48" s="21">
        <f>IF('Eval Cases'!A49="","",'Eval Cases'!A49)</f>
        <v/>
      </c>
      <c r="B48" s="21">
        <f>IF(A48="","",'Eval Cases'!B49)</f>
        <v/>
      </c>
      <c r="C48" s="21">
        <f>IF(A48="","",'Eval Cases'!C49)</f>
        <v/>
      </c>
      <c r="D48" s="21">
        <f>IF(A48="","",COUNTIF(Runs!$A$5:$A$1004,A48))</f>
        <v/>
      </c>
      <c r="E48" s="21">
        <f>IF(A48="","",COUNTIFS(Runs!$A$5:$A$1004,A48,Runs!$I$5:$I$1004,"Pass"))</f>
        <v/>
      </c>
      <c r="F48" s="21">
        <f>IF(A48="","",COUNTIFS(Runs!$A$5:$A$1004,A48,Runs!$I$5:$I$1004,"Can't tell"))</f>
        <v/>
      </c>
      <c r="G48" s="22">
        <f>IF(A48="","",IF(D48-F48=0,"",E48/(D48-F48)))</f>
        <v/>
      </c>
      <c r="H48" s="21">
        <f>IF(A48="","",IF(D48=0,"Not run",IF(D48-E48-F48&gt;0,"No",IF(E48&gt;=3,"Yes","Needs 3 graded runs"))))</f>
        <v/>
      </c>
    </row>
    <row r="49">
      <c r="A49" s="21">
        <f>IF('Eval Cases'!A50="","",'Eval Cases'!A50)</f>
        <v/>
      </c>
      <c r="B49" s="21">
        <f>IF(A49="","",'Eval Cases'!B50)</f>
        <v/>
      </c>
      <c r="C49" s="21">
        <f>IF(A49="","",'Eval Cases'!C50)</f>
        <v/>
      </c>
      <c r="D49" s="21">
        <f>IF(A49="","",COUNTIF(Runs!$A$5:$A$1004,A49))</f>
        <v/>
      </c>
      <c r="E49" s="21">
        <f>IF(A49="","",COUNTIFS(Runs!$A$5:$A$1004,A49,Runs!$I$5:$I$1004,"Pass"))</f>
        <v/>
      </c>
      <c r="F49" s="21">
        <f>IF(A49="","",COUNTIFS(Runs!$A$5:$A$1004,A49,Runs!$I$5:$I$1004,"Can't tell"))</f>
        <v/>
      </c>
      <c r="G49" s="22">
        <f>IF(A49="","",IF(D49-F49=0,"",E49/(D49-F49)))</f>
        <v/>
      </c>
      <c r="H49" s="21">
        <f>IF(A49="","",IF(D49=0,"Not run",IF(D49-E49-F49&gt;0,"No",IF(E49&gt;=3,"Yes","Needs 3 graded runs"))))</f>
        <v/>
      </c>
    </row>
    <row r="50">
      <c r="A50" s="21">
        <f>IF('Eval Cases'!A51="","",'Eval Cases'!A51)</f>
        <v/>
      </c>
      <c r="B50" s="21">
        <f>IF(A50="","",'Eval Cases'!B51)</f>
        <v/>
      </c>
      <c r="C50" s="21">
        <f>IF(A50="","",'Eval Cases'!C51)</f>
        <v/>
      </c>
      <c r="D50" s="21">
        <f>IF(A50="","",COUNTIF(Runs!$A$5:$A$1004,A50))</f>
        <v/>
      </c>
      <c r="E50" s="21">
        <f>IF(A50="","",COUNTIFS(Runs!$A$5:$A$1004,A50,Runs!$I$5:$I$1004,"Pass"))</f>
        <v/>
      </c>
      <c r="F50" s="21">
        <f>IF(A50="","",COUNTIFS(Runs!$A$5:$A$1004,A50,Runs!$I$5:$I$1004,"Can't tell"))</f>
        <v/>
      </c>
      <c r="G50" s="22">
        <f>IF(A50="","",IF(D50-F50=0,"",E50/(D50-F50)))</f>
        <v/>
      </c>
      <c r="H50" s="21">
        <f>IF(A50="","",IF(D50=0,"Not run",IF(D50-E50-F50&gt;0,"No",IF(E50&gt;=3,"Yes","Needs 3 graded runs"))))</f>
        <v/>
      </c>
    </row>
    <row r="51">
      <c r="A51" s="21">
        <f>IF('Eval Cases'!A52="","",'Eval Cases'!A52)</f>
        <v/>
      </c>
      <c r="B51" s="21">
        <f>IF(A51="","",'Eval Cases'!B52)</f>
        <v/>
      </c>
      <c r="C51" s="21">
        <f>IF(A51="","",'Eval Cases'!C52)</f>
        <v/>
      </c>
      <c r="D51" s="21">
        <f>IF(A51="","",COUNTIF(Runs!$A$5:$A$1004,A51))</f>
        <v/>
      </c>
      <c r="E51" s="21">
        <f>IF(A51="","",COUNTIFS(Runs!$A$5:$A$1004,A51,Runs!$I$5:$I$1004,"Pass"))</f>
        <v/>
      </c>
      <c r="F51" s="21">
        <f>IF(A51="","",COUNTIFS(Runs!$A$5:$A$1004,A51,Runs!$I$5:$I$1004,"Can't tell"))</f>
        <v/>
      </c>
      <c r="G51" s="22">
        <f>IF(A51="","",IF(D51-F51=0,"",E51/(D51-F51)))</f>
        <v/>
      </c>
      <c r="H51" s="21">
        <f>IF(A51="","",IF(D51=0,"Not run",IF(D51-E51-F51&gt;0,"No",IF(E51&gt;=3,"Yes","Needs 3 graded runs"))))</f>
        <v/>
      </c>
    </row>
    <row r="52">
      <c r="A52" s="21">
        <f>IF('Eval Cases'!A53="","",'Eval Cases'!A53)</f>
        <v/>
      </c>
      <c r="B52" s="21">
        <f>IF(A52="","",'Eval Cases'!B53)</f>
        <v/>
      </c>
      <c r="C52" s="21">
        <f>IF(A52="","",'Eval Cases'!C53)</f>
        <v/>
      </c>
      <c r="D52" s="21">
        <f>IF(A52="","",COUNTIF(Runs!$A$5:$A$1004,A52))</f>
        <v/>
      </c>
      <c r="E52" s="21">
        <f>IF(A52="","",COUNTIFS(Runs!$A$5:$A$1004,A52,Runs!$I$5:$I$1004,"Pass"))</f>
        <v/>
      </c>
      <c r="F52" s="21">
        <f>IF(A52="","",COUNTIFS(Runs!$A$5:$A$1004,A52,Runs!$I$5:$I$1004,"Can't tell"))</f>
        <v/>
      </c>
      <c r="G52" s="22">
        <f>IF(A52="","",IF(D52-F52=0,"",E52/(D52-F52)))</f>
        <v/>
      </c>
      <c r="H52" s="21">
        <f>IF(A52="","",IF(D52=0,"Not run",IF(D52-E52-F52&gt;0,"No",IF(E52&gt;=3,"Yes","Needs 3 graded runs"))))</f>
        <v/>
      </c>
    </row>
    <row r="53">
      <c r="A53" s="21">
        <f>IF('Eval Cases'!A54="","",'Eval Cases'!A54)</f>
        <v/>
      </c>
      <c r="B53" s="21">
        <f>IF(A53="","",'Eval Cases'!B54)</f>
        <v/>
      </c>
      <c r="C53" s="21">
        <f>IF(A53="","",'Eval Cases'!C54)</f>
        <v/>
      </c>
      <c r="D53" s="21">
        <f>IF(A53="","",COUNTIF(Runs!$A$5:$A$1004,A53))</f>
        <v/>
      </c>
      <c r="E53" s="21">
        <f>IF(A53="","",COUNTIFS(Runs!$A$5:$A$1004,A53,Runs!$I$5:$I$1004,"Pass"))</f>
        <v/>
      </c>
      <c r="F53" s="21">
        <f>IF(A53="","",COUNTIFS(Runs!$A$5:$A$1004,A53,Runs!$I$5:$I$1004,"Can't tell"))</f>
        <v/>
      </c>
      <c r="G53" s="22">
        <f>IF(A53="","",IF(D53-F53=0,"",E53/(D53-F53)))</f>
        <v/>
      </c>
      <c r="H53" s="21">
        <f>IF(A53="","",IF(D53=0,"Not run",IF(D53-E53-F53&gt;0,"No",IF(E53&gt;=3,"Yes","Needs 3 graded runs"))))</f>
        <v/>
      </c>
    </row>
    <row r="54">
      <c r="A54" s="21">
        <f>IF('Eval Cases'!A55="","",'Eval Cases'!A55)</f>
        <v/>
      </c>
      <c r="B54" s="21">
        <f>IF(A54="","",'Eval Cases'!B55)</f>
        <v/>
      </c>
      <c r="C54" s="21">
        <f>IF(A54="","",'Eval Cases'!C55)</f>
        <v/>
      </c>
      <c r="D54" s="21">
        <f>IF(A54="","",COUNTIF(Runs!$A$5:$A$1004,A54))</f>
        <v/>
      </c>
      <c r="E54" s="21">
        <f>IF(A54="","",COUNTIFS(Runs!$A$5:$A$1004,A54,Runs!$I$5:$I$1004,"Pass"))</f>
        <v/>
      </c>
      <c r="F54" s="21">
        <f>IF(A54="","",COUNTIFS(Runs!$A$5:$A$1004,A54,Runs!$I$5:$I$1004,"Can't tell"))</f>
        <v/>
      </c>
      <c r="G54" s="22">
        <f>IF(A54="","",IF(D54-F54=0,"",E54/(D54-F54)))</f>
        <v/>
      </c>
      <c r="H54" s="21">
        <f>IF(A54="","",IF(D54=0,"Not run",IF(D54-E54-F54&gt;0,"No",IF(E54&gt;=3,"Yes","Needs 3 graded runs"))))</f>
        <v/>
      </c>
    </row>
    <row r="55">
      <c r="A55" s="21">
        <f>IF('Eval Cases'!A56="","",'Eval Cases'!A56)</f>
        <v/>
      </c>
      <c r="B55" s="21">
        <f>IF(A55="","",'Eval Cases'!B56)</f>
        <v/>
      </c>
      <c r="C55" s="21">
        <f>IF(A55="","",'Eval Cases'!C56)</f>
        <v/>
      </c>
      <c r="D55" s="21">
        <f>IF(A55="","",COUNTIF(Runs!$A$5:$A$1004,A55))</f>
        <v/>
      </c>
      <c r="E55" s="21">
        <f>IF(A55="","",COUNTIFS(Runs!$A$5:$A$1004,A55,Runs!$I$5:$I$1004,"Pass"))</f>
        <v/>
      </c>
      <c r="F55" s="21">
        <f>IF(A55="","",COUNTIFS(Runs!$A$5:$A$1004,A55,Runs!$I$5:$I$1004,"Can't tell"))</f>
        <v/>
      </c>
      <c r="G55" s="22">
        <f>IF(A55="","",IF(D55-F55=0,"",E55/(D55-F55)))</f>
        <v/>
      </c>
      <c r="H55" s="21">
        <f>IF(A55="","",IF(D55=0,"Not run",IF(D55-E55-F55&gt;0,"No",IF(E55&gt;=3,"Yes","Needs 3 graded runs"))))</f>
        <v/>
      </c>
    </row>
    <row r="56">
      <c r="A56" s="21">
        <f>IF('Eval Cases'!A57="","",'Eval Cases'!A57)</f>
        <v/>
      </c>
      <c r="B56" s="21">
        <f>IF(A56="","",'Eval Cases'!B57)</f>
        <v/>
      </c>
      <c r="C56" s="21">
        <f>IF(A56="","",'Eval Cases'!C57)</f>
        <v/>
      </c>
      <c r="D56" s="21">
        <f>IF(A56="","",COUNTIF(Runs!$A$5:$A$1004,A56))</f>
        <v/>
      </c>
      <c r="E56" s="21">
        <f>IF(A56="","",COUNTIFS(Runs!$A$5:$A$1004,A56,Runs!$I$5:$I$1004,"Pass"))</f>
        <v/>
      </c>
      <c r="F56" s="21">
        <f>IF(A56="","",COUNTIFS(Runs!$A$5:$A$1004,A56,Runs!$I$5:$I$1004,"Can't tell"))</f>
        <v/>
      </c>
      <c r="G56" s="22">
        <f>IF(A56="","",IF(D56-F56=0,"",E56/(D56-F56)))</f>
        <v/>
      </c>
      <c r="H56" s="21">
        <f>IF(A56="","",IF(D56=0,"Not run",IF(D56-E56-F56&gt;0,"No",IF(E56&gt;=3,"Yes","Needs 3 graded runs"))))</f>
        <v/>
      </c>
    </row>
    <row r="57">
      <c r="A57" s="21">
        <f>IF('Eval Cases'!A58="","",'Eval Cases'!A58)</f>
        <v/>
      </c>
      <c r="B57" s="21">
        <f>IF(A57="","",'Eval Cases'!B58)</f>
        <v/>
      </c>
      <c r="C57" s="21">
        <f>IF(A57="","",'Eval Cases'!C58)</f>
        <v/>
      </c>
      <c r="D57" s="21">
        <f>IF(A57="","",COUNTIF(Runs!$A$5:$A$1004,A57))</f>
        <v/>
      </c>
      <c r="E57" s="21">
        <f>IF(A57="","",COUNTIFS(Runs!$A$5:$A$1004,A57,Runs!$I$5:$I$1004,"Pass"))</f>
        <v/>
      </c>
      <c r="F57" s="21">
        <f>IF(A57="","",COUNTIFS(Runs!$A$5:$A$1004,A57,Runs!$I$5:$I$1004,"Can't tell"))</f>
        <v/>
      </c>
      <c r="G57" s="22">
        <f>IF(A57="","",IF(D57-F57=0,"",E57/(D57-F57)))</f>
        <v/>
      </c>
      <c r="H57" s="21">
        <f>IF(A57="","",IF(D57=0,"Not run",IF(D57-E57-F57&gt;0,"No",IF(E57&gt;=3,"Yes","Needs 3 graded runs"))))</f>
        <v/>
      </c>
    </row>
    <row r="58">
      <c r="A58" s="21">
        <f>IF('Eval Cases'!A59="","",'Eval Cases'!A59)</f>
        <v/>
      </c>
      <c r="B58" s="21">
        <f>IF(A58="","",'Eval Cases'!B59)</f>
        <v/>
      </c>
      <c r="C58" s="21">
        <f>IF(A58="","",'Eval Cases'!C59)</f>
        <v/>
      </c>
      <c r="D58" s="21">
        <f>IF(A58="","",COUNTIF(Runs!$A$5:$A$1004,A58))</f>
        <v/>
      </c>
      <c r="E58" s="21">
        <f>IF(A58="","",COUNTIFS(Runs!$A$5:$A$1004,A58,Runs!$I$5:$I$1004,"Pass"))</f>
        <v/>
      </c>
      <c r="F58" s="21">
        <f>IF(A58="","",COUNTIFS(Runs!$A$5:$A$1004,A58,Runs!$I$5:$I$1004,"Can't tell"))</f>
        <v/>
      </c>
      <c r="G58" s="22">
        <f>IF(A58="","",IF(D58-F58=0,"",E58/(D58-F58)))</f>
        <v/>
      </c>
      <c r="H58" s="21">
        <f>IF(A58="","",IF(D58=0,"Not run",IF(D58-E58-F58&gt;0,"No",IF(E58&gt;=3,"Yes","Needs 3 graded runs"))))</f>
        <v/>
      </c>
    </row>
    <row r="59">
      <c r="A59" s="21">
        <f>IF('Eval Cases'!A60="","",'Eval Cases'!A60)</f>
        <v/>
      </c>
      <c r="B59" s="21">
        <f>IF(A59="","",'Eval Cases'!B60)</f>
        <v/>
      </c>
      <c r="C59" s="21">
        <f>IF(A59="","",'Eval Cases'!C60)</f>
        <v/>
      </c>
      <c r="D59" s="21">
        <f>IF(A59="","",COUNTIF(Runs!$A$5:$A$1004,A59))</f>
        <v/>
      </c>
      <c r="E59" s="21">
        <f>IF(A59="","",COUNTIFS(Runs!$A$5:$A$1004,A59,Runs!$I$5:$I$1004,"Pass"))</f>
        <v/>
      </c>
      <c r="F59" s="21">
        <f>IF(A59="","",COUNTIFS(Runs!$A$5:$A$1004,A59,Runs!$I$5:$I$1004,"Can't tell"))</f>
        <v/>
      </c>
      <c r="G59" s="22">
        <f>IF(A59="","",IF(D59-F59=0,"",E59/(D59-F59)))</f>
        <v/>
      </c>
      <c r="H59" s="21">
        <f>IF(A59="","",IF(D59=0,"Not run",IF(D59-E59-F59&gt;0,"No",IF(E59&gt;=3,"Yes","Needs 3 graded runs"))))</f>
        <v/>
      </c>
    </row>
    <row r="60">
      <c r="A60" s="21">
        <f>IF('Eval Cases'!A61="","",'Eval Cases'!A61)</f>
        <v/>
      </c>
      <c r="B60" s="21">
        <f>IF(A60="","",'Eval Cases'!B61)</f>
        <v/>
      </c>
      <c r="C60" s="21">
        <f>IF(A60="","",'Eval Cases'!C61)</f>
        <v/>
      </c>
      <c r="D60" s="21">
        <f>IF(A60="","",COUNTIF(Runs!$A$5:$A$1004,A60))</f>
        <v/>
      </c>
      <c r="E60" s="21">
        <f>IF(A60="","",COUNTIFS(Runs!$A$5:$A$1004,A60,Runs!$I$5:$I$1004,"Pass"))</f>
        <v/>
      </c>
      <c r="F60" s="21">
        <f>IF(A60="","",COUNTIFS(Runs!$A$5:$A$1004,A60,Runs!$I$5:$I$1004,"Can't tell"))</f>
        <v/>
      </c>
      <c r="G60" s="22">
        <f>IF(A60="","",IF(D60-F60=0,"",E60/(D60-F60)))</f>
        <v/>
      </c>
      <c r="H60" s="21">
        <f>IF(A60="","",IF(D60=0,"Not run",IF(D60-E60-F60&gt;0,"No",IF(E60&gt;=3,"Yes","Needs 3 graded runs"))))</f>
        <v/>
      </c>
    </row>
    <row r="61">
      <c r="A61" s="21">
        <f>IF('Eval Cases'!A62="","",'Eval Cases'!A62)</f>
        <v/>
      </c>
      <c r="B61" s="21">
        <f>IF(A61="","",'Eval Cases'!B62)</f>
        <v/>
      </c>
      <c r="C61" s="21">
        <f>IF(A61="","",'Eval Cases'!C62)</f>
        <v/>
      </c>
      <c r="D61" s="21">
        <f>IF(A61="","",COUNTIF(Runs!$A$5:$A$1004,A61))</f>
        <v/>
      </c>
      <c r="E61" s="21">
        <f>IF(A61="","",COUNTIFS(Runs!$A$5:$A$1004,A61,Runs!$I$5:$I$1004,"Pass"))</f>
        <v/>
      </c>
      <c r="F61" s="21">
        <f>IF(A61="","",COUNTIFS(Runs!$A$5:$A$1004,A61,Runs!$I$5:$I$1004,"Can't tell"))</f>
        <v/>
      </c>
      <c r="G61" s="22">
        <f>IF(A61="","",IF(D61-F61=0,"",E61/(D61-F61)))</f>
        <v/>
      </c>
      <c r="H61" s="21">
        <f>IF(A61="","",IF(D61=0,"Not run",IF(D61-E61-F61&gt;0,"No",IF(E61&gt;=3,"Yes","Needs 3 graded runs"))))</f>
        <v/>
      </c>
    </row>
    <row r="62">
      <c r="A62" s="21">
        <f>IF('Eval Cases'!A63="","",'Eval Cases'!A63)</f>
        <v/>
      </c>
      <c r="B62" s="21">
        <f>IF(A62="","",'Eval Cases'!B63)</f>
        <v/>
      </c>
      <c r="C62" s="21">
        <f>IF(A62="","",'Eval Cases'!C63)</f>
        <v/>
      </c>
      <c r="D62" s="21">
        <f>IF(A62="","",COUNTIF(Runs!$A$5:$A$1004,A62))</f>
        <v/>
      </c>
      <c r="E62" s="21">
        <f>IF(A62="","",COUNTIFS(Runs!$A$5:$A$1004,A62,Runs!$I$5:$I$1004,"Pass"))</f>
        <v/>
      </c>
      <c r="F62" s="21">
        <f>IF(A62="","",COUNTIFS(Runs!$A$5:$A$1004,A62,Runs!$I$5:$I$1004,"Can't tell"))</f>
        <v/>
      </c>
      <c r="G62" s="22">
        <f>IF(A62="","",IF(D62-F62=0,"",E62/(D62-F62)))</f>
        <v/>
      </c>
      <c r="H62" s="21">
        <f>IF(A62="","",IF(D62=0,"Not run",IF(D62-E62-F62&gt;0,"No",IF(E62&gt;=3,"Yes","Needs 3 graded runs"))))</f>
        <v/>
      </c>
    </row>
    <row r="63">
      <c r="A63" s="21">
        <f>IF('Eval Cases'!A64="","",'Eval Cases'!A64)</f>
        <v/>
      </c>
      <c r="B63" s="21">
        <f>IF(A63="","",'Eval Cases'!B64)</f>
        <v/>
      </c>
      <c r="C63" s="21">
        <f>IF(A63="","",'Eval Cases'!C64)</f>
        <v/>
      </c>
      <c r="D63" s="21">
        <f>IF(A63="","",COUNTIF(Runs!$A$5:$A$1004,A63))</f>
        <v/>
      </c>
      <c r="E63" s="21">
        <f>IF(A63="","",COUNTIFS(Runs!$A$5:$A$1004,A63,Runs!$I$5:$I$1004,"Pass"))</f>
        <v/>
      </c>
      <c r="F63" s="21">
        <f>IF(A63="","",COUNTIFS(Runs!$A$5:$A$1004,A63,Runs!$I$5:$I$1004,"Can't tell"))</f>
        <v/>
      </c>
      <c r="G63" s="22">
        <f>IF(A63="","",IF(D63-F63=0,"",E63/(D63-F63)))</f>
        <v/>
      </c>
      <c r="H63" s="21">
        <f>IF(A63="","",IF(D63=0,"Not run",IF(D63-E63-F63&gt;0,"No",IF(E63&gt;=3,"Yes","Needs 3 graded runs"))))</f>
        <v/>
      </c>
    </row>
    <row r="64">
      <c r="A64" s="21">
        <f>IF('Eval Cases'!A65="","",'Eval Cases'!A65)</f>
        <v/>
      </c>
      <c r="B64" s="21">
        <f>IF(A64="","",'Eval Cases'!B65)</f>
        <v/>
      </c>
      <c r="C64" s="21">
        <f>IF(A64="","",'Eval Cases'!C65)</f>
        <v/>
      </c>
      <c r="D64" s="21">
        <f>IF(A64="","",COUNTIF(Runs!$A$5:$A$1004,A64))</f>
        <v/>
      </c>
      <c r="E64" s="21">
        <f>IF(A64="","",COUNTIFS(Runs!$A$5:$A$1004,A64,Runs!$I$5:$I$1004,"Pass"))</f>
        <v/>
      </c>
      <c r="F64" s="21">
        <f>IF(A64="","",COUNTIFS(Runs!$A$5:$A$1004,A64,Runs!$I$5:$I$1004,"Can't tell"))</f>
        <v/>
      </c>
      <c r="G64" s="22">
        <f>IF(A64="","",IF(D64-F64=0,"",E64/(D64-F64)))</f>
        <v/>
      </c>
      <c r="H64" s="21">
        <f>IF(A64="","",IF(D64=0,"Not run",IF(D64-E64-F64&gt;0,"No",IF(E64&gt;=3,"Yes","Needs 3 graded runs"))))</f>
        <v/>
      </c>
    </row>
    <row r="65">
      <c r="A65" s="21">
        <f>IF('Eval Cases'!A66="","",'Eval Cases'!A66)</f>
        <v/>
      </c>
      <c r="B65" s="21">
        <f>IF(A65="","",'Eval Cases'!B66)</f>
        <v/>
      </c>
      <c r="C65" s="21">
        <f>IF(A65="","",'Eval Cases'!C66)</f>
        <v/>
      </c>
      <c r="D65" s="21">
        <f>IF(A65="","",COUNTIF(Runs!$A$5:$A$1004,A65))</f>
        <v/>
      </c>
      <c r="E65" s="21">
        <f>IF(A65="","",COUNTIFS(Runs!$A$5:$A$1004,A65,Runs!$I$5:$I$1004,"Pass"))</f>
        <v/>
      </c>
      <c r="F65" s="21">
        <f>IF(A65="","",COUNTIFS(Runs!$A$5:$A$1004,A65,Runs!$I$5:$I$1004,"Can't tell"))</f>
        <v/>
      </c>
      <c r="G65" s="22">
        <f>IF(A65="","",IF(D65-F65=0,"",E65/(D65-F65)))</f>
        <v/>
      </c>
      <c r="H65" s="21">
        <f>IF(A65="","",IF(D65=0,"Not run",IF(D65-E65-F65&gt;0,"No",IF(E65&gt;=3,"Yes","Needs 3 graded runs"))))</f>
        <v/>
      </c>
    </row>
    <row r="66">
      <c r="A66" s="21">
        <f>IF('Eval Cases'!A67="","",'Eval Cases'!A67)</f>
        <v/>
      </c>
      <c r="B66" s="21">
        <f>IF(A66="","",'Eval Cases'!B67)</f>
        <v/>
      </c>
      <c r="C66" s="21">
        <f>IF(A66="","",'Eval Cases'!C67)</f>
        <v/>
      </c>
      <c r="D66" s="21">
        <f>IF(A66="","",COUNTIF(Runs!$A$5:$A$1004,A66))</f>
        <v/>
      </c>
      <c r="E66" s="21">
        <f>IF(A66="","",COUNTIFS(Runs!$A$5:$A$1004,A66,Runs!$I$5:$I$1004,"Pass"))</f>
        <v/>
      </c>
      <c r="F66" s="21">
        <f>IF(A66="","",COUNTIFS(Runs!$A$5:$A$1004,A66,Runs!$I$5:$I$1004,"Can't tell"))</f>
        <v/>
      </c>
      <c r="G66" s="22">
        <f>IF(A66="","",IF(D66-F66=0,"",E66/(D66-F66)))</f>
        <v/>
      </c>
      <c r="H66" s="21">
        <f>IF(A66="","",IF(D66=0,"Not run",IF(D66-E66-F66&gt;0,"No",IF(E66&gt;=3,"Yes","Needs 3 graded runs"))))</f>
        <v/>
      </c>
    </row>
    <row r="67">
      <c r="A67" s="21">
        <f>IF('Eval Cases'!A68="","",'Eval Cases'!A68)</f>
        <v/>
      </c>
      <c r="B67" s="21">
        <f>IF(A67="","",'Eval Cases'!B68)</f>
        <v/>
      </c>
      <c r="C67" s="21">
        <f>IF(A67="","",'Eval Cases'!C68)</f>
        <v/>
      </c>
      <c r="D67" s="21">
        <f>IF(A67="","",COUNTIF(Runs!$A$5:$A$1004,A67))</f>
        <v/>
      </c>
      <c r="E67" s="21">
        <f>IF(A67="","",COUNTIFS(Runs!$A$5:$A$1004,A67,Runs!$I$5:$I$1004,"Pass"))</f>
        <v/>
      </c>
      <c r="F67" s="21">
        <f>IF(A67="","",COUNTIFS(Runs!$A$5:$A$1004,A67,Runs!$I$5:$I$1004,"Can't tell"))</f>
        <v/>
      </c>
      <c r="G67" s="22">
        <f>IF(A67="","",IF(D67-F67=0,"",E67/(D67-F67)))</f>
        <v/>
      </c>
      <c r="H67" s="21">
        <f>IF(A67="","",IF(D67=0,"Not run",IF(D67-E67-F67&gt;0,"No",IF(E67&gt;=3,"Yes","Needs 3 graded runs"))))</f>
        <v/>
      </c>
    </row>
    <row r="68">
      <c r="A68" s="21">
        <f>IF('Eval Cases'!A69="","",'Eval Cases'!A69)</f>
        <v/>
      </c>
      <c r="B68" s="21">
        <f>IF(A68="","",'Eval Cases'!B69)</f>
        <v/>
      </c>
      <c r="C68" s="21">
        <f>IF(A68="","",'Eval Cases'!C69)</f>
        <v/>
      </c>
      <c r="D68" s="21">
        <f>IF(A68="","",COUNTIF(Runs!$A$5:$A$1004,A68))</f>
        <v/>
      </c>
      <c r="E68" s="21">
        <f>IF(A68="","",COUNTIFS(Runs!$A$5:$A$1004,A68,Runs!$I$5:$I$1004,"Pass"))</f>
        <v/>
      </c>
      <c r="F68" s="21">
        <f>IF(A68="","",COUNTIFS(Runs!$A$5:$A$1004,A68,Runs!$I$5:$I$1004,"Can't tell"))</f>
        <v/>
      </c>
      <c r="G68" s="22">
        <f>IF(A68="","",IF(D68-F68=0,"",E68/(D68-F68)))</f>
        <v/>
      </c>
      <c r="H68" s="21">
        <f>IF(A68="","",IF(D68=0,"Not run",IF(D68-E68-F68&gt;0,"No",IF(E68&gt;=3,"Yes","Needs 3 graded runs"))))</f>
        <v/>
      </c>
    </row>
    <row r="69">
      <c r="A69" s="21">
        <f>IF('Eval Cases'!A70="","",'Eval Cases'!A70)</f>
        <v/>
      </c>
      <c r="B69" s="21">
        <f>IF(A69="","",'Eval Cases'!B70)</f>
        <v/>
      </c>
      <c r="C69" s="21">
        <f>IF(A69="","",'Eval Cases'!C70)</f>
        <v/>
      </c>
      <c r="D69" s="21">
        <f>IF(A69="","",COUNTIF(Runs!$A$5:$A$1004,A69))</f>
        <v/>
      </c>
      <c r="E69" s="21">
        <f>IF(A69="","",COUNTIFS(Runs!$A$5:$A$1004,A69,Runs!$I$5:$I$1004,"Pass"))</f>
        <v/>
      </c>
      <c r="F69" s="21">
        <f>IF(A69="","",COUNTIFS(Runs!$A$5:$A$1004,A69,Runs!$I$5:$I$1004,"Can't tell"))</f>
        <v/>
      </c>
      <c r="G69" s="22">
        <f>IF(A69="","",IF(D69-F69=0,"",E69/(D69-F69)))</f>
        <v/>
      </c>
      <c r="H69" s="21">
        <f>IF(A69="","",IF(D69=0,"Not run",IF(D69-E69-F69&gt;0,"No",IF(E69&gt;=3,"Yes","Needs 3 graded runs"))))</f>
        <v/>
      </c>
    </row>
    <row r="70">
      <c r="A70" s="21">
        <f>IF('Eval Cases'!A71="","",'Eval Cases'!A71)</f>
        <v/>
      </c>
      <c r="B70" s="21">
        <f>IF(A70="","",'Eval Cases'!B71)</f>
        <v/>
      </c>
      <c r="C70" s="21">
        <f>IF(A70="","",'Eval Cases'!C71)</f>
        <v/>
      </c>
      <c r="D70" s="21">
        <f>IF(A70="","",COUNTIF(Runs!$A$5:$A$1004,A70))</f>
        <v/>
      </c>
      <c r="E70" s="21">
        <f>IF(A70="","",COUNTIFS(Runs!$A$5:$A$1004,A70,Runs!$I$5:$I$1004,"Pass"))</f>
        <v/>
      </c>
      <c r="F70" s="21">
        <f>IF(A70="","",COUNTIFS(Runs!$A$5:$A$1004,A70,Runs!$I$5:$I$1004,"Can't tell"))</f>
        <v/>
      </c>
      <c r="G70" s="22">
        <f>IF(A70="","",IF(D70-F70=0,"",E70/(D70-F70)))</f>
        <v/>
      </c>
      <c r="H70" s="21">
        <f>IF(A70="","",IF(D70=0,"Not run",IF(D70-E70-F70&gt;0,"No",IF(E70&gt;=3,"Yes","Needs 3 graded runs"))))</f>
        <v/>
      </c>
    </row>
    <row r="71">
      <c r="A71" s="21">
        <f>IF('Eval Cases'!A72="","",'Eval Cases'!A72)</f>
        <v/>
      </c>
      <c r="B71" s="21">
        <f>IF(A71="","",'Eval Cases'!B72)</f>
        <v/>
      </c>
      <c r="C71" s="21">
        <f>IF(A71="","",'Eval Cases'!C72)</f>
        <v/>
      </c>
      <c r="D71" s="21">
        <f>IF(A71="","",COUNTIF(Runs!$A$5:$A$1004,A71))</f>
        <v/>
      </c>
      <c r="E71" s="21">
        <f>IF(A71="","",COUNTIFS(Runs!$A$5:$A$1004,A71,Runs!$I$5:$I$1004,"Pass"))</f>
        <v/>
      </c>
      <c r="F71" s="21">
        <f>IF(A71="","",COUNTIFS(Runs!$A$5:$A$1004,A71,Runs!$I$5:$I$1004,"Can't tell"))</f>
        <v/>
      </c>
      <c r="G71" s="22">
        <f>IF(A71="","",IF(D71-F71=0,"",E71/(D71-F71)))</f>
        <v/>
      </c>
      <c r="H71" s="21">
        <f>IF(A71="","",IF(D71=0,"Not run",IF(D71-E71-F71&gt;0,"No",IF(E71&gt;=3,"Yes","Needs 3 graded runs"))))</f>
        <v/>
      </c>
    </row>
    <row r="72">
      <c r="A72" s="21">
        <f>IF('Eval Cases'!A73="","",'Eval Cases'!A73)</f>
        <v/>
      </c>
      <c r="B72" s="21">
        <f>IF(A72="","",'Eval Cases'!B73)</f>
        <v/>
      </c>
      <c r="C72" s="21">
        <f>IF(A72="","",'Eval Cases'!C73)</f>
        <v/>
      </c>
      <c r="D72" s="21">
        <f>IF(A72="","",COUNTIF(Runs!$A$5:$A$1004,A72))</f>
        <v/>
      </c>
      <c r="E72" s="21">
        <f>IF(A72="","",COUNTIFS(Runs!$A$5:$A$1004,A72,Runs!$I$5:$I$1004,"Pass"))</f>
        <v/>
      </c>
      <c r="F72" s="21">
        <f>IF(A72="","",COUNTIFS(Runs!$A$5:$A$1004,A72,Runs!$I$5:$I$1004,"Can't tell"))</f>
        <v/>
      </c>
      <c r="G72" s="22">
        <f>IF(A72="","",IF(D72-F72=0,"",E72/(D72-F72)))</f>
        <v/>
      </c>
      <c r="H72" s="21">
        <f>IF(A72="","",IF(D72=0,"Not run",IF(D72-E72-F72&gt;0,"No",IF(E72&gt;=3,"Yes","Needs 3 graded runs"))))</f>
        <v/>
      </c>
    </row>
    <row r="73">
      <c r="A73" s="21">
        <f>IF('Eval Cases'!A74="","",'Eval Cases'!A74)</f>
        <v/>
      </c>
      <c r="B73" s="21">
        <f>IF(A73="","",'Eval Cases'!B74)</f>
        <v/>
      </c>
      <c r="C73" s="21">
        <f>IF(A73="","",'Eval Cases'!C74)</f>
        <v/>
      </c>
      <c r="D73" s="21">
        <f>IF(A73="","",COUNTIF(Runs!$A$5:$A$1004,A73))</f>
        <v/>
      </c>
      <c r="E73" s="21">
        <f>IF(A73="","",COUNTIFS(Runs!$A$5:$A$1004,A73,Runs!$I$5:$I$1004,"Pass"))</f>
        <v/>
      </c>
      <c r="F73" s="21">
        <f>IF(A73="","",COUNTIFS(Runs!$A$5:$A$1004,A73,Runs!$I$5:$I$1004,"Can't tell"))</f>
        <v/>
      </c>
      <c r="G73" s="22">
        <f>IF(A73="","",IF(D73-F73=0,"",E73/(D73-F73)))</f>
        <v/>
      </c>
      <c r="H73" s="21">
        <f>IF(A73="","",IF(D73=0,"Not run",IF(D73-E73-F73&gt;0,"No",IF(E73&gt;=3,"Yes","Needs 3 graded runs"))))</f>
        <v/>
      </c>
    </row>
    <row r="74">
      <c r="A74" s="21">
        <f>IF('Eval Cases'!A75="","",'Eval Cases'!A75)</f>
        <v/>
      </c>
      <c r="B74" s="21">
        <f>IF(A74="","",'Eval Cases'!B75)</f>
        <v/>
      </c>
      <c r="C74" s="21">
        <f>IF(A74="","",'Eval Cases'!C75)</f>
        <v/>
      </c>
      <c r="D74" s="21">
        <f>IF(A74="","",COUNTIF(Runs!$A$5:$A$1004,A74))</f>
        <v/>
      </c>
      <c r="E74" s="21">
        <f>IF(A74="","",COUNTIFS(Runs!$A$5:$A$1004,A74,Runs!$I$5:$I$1004,"Pass"))</f>
        <v/>
      </c>
      <c r="F74" s="21">
        <f>IF(A74="","",COUNTIFS(Runs!$A$5:$A$1004,A74,Runs!$I$5:$I$1004,"Can't tell"))</f>
        <v/>
      </c>
      <c r="G74" s="22">
        <f>IF(A74="","",IF(D74-F74=0,"",E74/(D74-F74)))</f>
        <v/>
      </c>
      <c r="H74" s="21">
        <f>IF(A74="","",IF(D74=0,"Not run",IF(D74-E74-F74&gt;0,"No",IF(E74&gt;=3,"Yes","Needs 3 graded runs"))))</f>
        <v/>
      </c>
    </row>
    <row r="75">
      <c r="A75" s="21">
        <f>IF('Eval Cases'!A76="","",'Eval Cases'!A76)</f>
        <v/>
      </c>
      <c r="B75" s="21">
        <f>IF(A75="","",'Eval Cases'!B76)</f>
        <v/>
      </c>
      <c r="C75" s="21">
        <f>IF(A75="","",'Eval Cases'!C76)</f>
        <v/>
      </c>
      <c r="D75" s="21">
        <f>IF(A75="","",COUNTIF(Runs!$A$5:$A$1004,A75))</f>
        <v/>
      </c>
      <c r="E75" s="21">
        <f>IF(A75="","",COUNTIFS(Runs!$A$5:$A$1004,A75,Runs!$I$5:$I$1004,"Pass"))</f>
        <v/>
      </c>
      <c r="F75" s="21">
        <f>IF(A75="","",COUNTIFS(Runs!$A$5:$A$1004,A75,Runs!$I$5:$I$1004,"Can't tell"))</f>
        <v/>
      </c>
      <c r="G75" s="22">
        <f>IF(A75="","",IF(D75-F75=0,"",E75/(D75-F75)))</f>
        <v/>
      </c>
      <c r="H75" s="21">
        <f>IF(A75="","",IF(D75=0,"Not run",IF(D75-E75-F75&gt;0,"No",IF(E75&gt;=3,"Yes","Needs 3 graded runs"))))</f>
        <v/>
      </c>
    </row>
    <row r="76">
      <c r="A76" s="21">
        <f>IF('Eval Cases'!A77="","",'Eval Cases'!A77)</f>
        <v/>
      </c>
      <c r="B76" s="21">
        <f>IF(A76="","",'Eval Cases'!B77)</f>
        <v/>
      </c>
      <c r="C76" s="21">
        <f>IF(A76="","",'Eval Cases'!C77)</f>
        <v/>
      </c>
      <c r="D76" s="21">
        <f>IF(A76="","",COUNTIF(Runs!$A$5:$A$1004,A76))</f>
        <v/>
      </c>
      <c r="E76" s="21">
        <f>IF(A76="","",COUNTIFS(Runs!$A$5:$A$1004,A76,Runs!$I$5:$I$1004,"Pass"))</f>
        <v/>
      </c>
      <c r="F76" s="21">
        <f>IF(A76="","",COUNTIFS(Runs!$A$5:$A$1004,A76,Runs!$I$5:$I$1004,"Can't tell"))</f>
        <v/>
      </c>
      <c r="G76" s="22">
        <f>IF(A76="","",IF(D76-F76=0,"",E76/(D76-F76)))</f>
        <v/>
      </c>
      <c r="H76" s="21">
        <f>IF(A76="","",IF(D76=0,"Not run",IF(D76-E76-F76&gt;0,"No",IF(E76&gt;=3,"Yes","Needs 3 graded runs"))))</f>
        <v/>
      </c>
    </row>
    <row r="77">
      <c r="A77" s="21">
        <f>IF('Eval Cases'!A78="","",'Eval Cases'!A78)</f>
        <v/>
      </c>
      <c r="B77" s="21">
        <f>IF(A77="","",'Eval Cases'!B78)</f>
        <v/>
      </c>
      <c r="C77" s="21">
        <f>IF(A77="","",'Eval Cases'!C78)</f>
        <v/>
      </c>
      <c r="D77" s="21">
        <f>IF(A77="","",COUNTIF(Runs!$A$5:$A$1004,A77))</f>
        <v/>
      </c>
      <c r="E77" s="21">
        <f>IF(A77="","",COUNTIFS(Runs!$A$5:$A$1004,A77,Runs!$I$5:$I$1004,"Pass"))</f>
        <v/>
      </c>
      <c r="F77" s="21">
        <f>IF(A77="","",COUNTIFS(Runs!$A$5:$A$1004,A77,Runs!$I$5:$I$1004,"Can't tell"))</f>
        <v/>
      </c>
      <c r="G77" s="22">
        <f>IF(A77="","",IF(D77-F77=0,"",E77/(D77-F77)))</f>
        <v/>
      </c>
      <c r="H77" s="21">
        <f>IF(A77="","",IF(D77=0,"Not run",IF(D77-E77-F77&gt;0,"No",IF(E77&gt;=3,"Yes","Needs 3 graded runs"))))</f>
        <v/>
      </c>
    </row>
    <row r="78">
      <c r="A78" s="21">
        <f>IF('Eval Cases'!A79="","",'Eval Cases'!A79)</f>
        <v/>
      </c>
      <c r="B78" s="21">
        <f>IF(A78="","",'Eval Cases'!B79)</f>
        <v/>
      </c>
      <c r="C78" s="21">
        <f>IF(A78="","",'Eval Cases'!C79)</f>
        <v/>
      </c>
      <c r="D78" s="21">
        <f>IF(A78="","",COUNTIF(Runs!$A$5:$A$1004,A78))</f>
        <v/>
      </c>
      <c r="E78" s="21">
        <f>IF(A78="","",COUNTIFS(Runs!$A$5:$A$1004,A78,Runs!$I$5:$I$1004,"Pass"))</f>
        <v/>
      </c>
      <c r="F78" s="21">
        <f>IF(A78="","",COUNTIFS(Runs!$A$5:$A$1004,A78,Runs!$I$5:$I$1004,"Can't tell"))</f>
        <v/>
      </c>
      <c r="G78" s="22">
        <f>IF(A78="","",IF(D78-F78=0,"",E78/(D78-F78)))</f>
        <v/>
      </c>
      <c r="H78" s="21">
        <f>IF(A78="","",IF(D78=0,"Not run",IF(D78-E78-F78&gt;0,"No",IF(E78&gt;=3,"Yes","Needs 3 graded runs"))))</f>
        <v/>
      </c>
    </row>
    <row r="79">
      <c r="A79" s="21">
        <f>IF('Eval Cases'!A80="","",'Eval Cases'!A80)</f>
        <v/>
      </c>
      <c r="B79" s="21">
        <f>IF(A79="","",'Eval Cases'!B80)</f>
        <v/>
      </c>
      <c r="C79" s="21">
        <f>IF(A79="","",'Eval Cases'!C80)</f>
        <v/>
      </c>
      <c r="D79" s="21">
        <f>IF(A79="","",COUNTIF(Runs!$A$5:$A$1004,A79))</f>
        <v/>
      </c>
      <c r="E79" s="21">
        <f>IF(A79="","",COUNTIFS(Runs!$A$5:$A$1004,A79,Runs!$I$5:$I$1004,"Pass"))</f>
        <v/>
      </c>
      <c r="F79" s="21">
        <f>IF(A79="","",COUNTIFS(Runs!$A$5:$A$1004,A79,Runs!$I$5:$I$1004,"Can't tell"))</f>
        <v/>
      </c>
      <c r="G79" s="22">
        <f>IF(A79="","",IF(D79-F79=0,"",E79/(D79-F79)))</f>
        <v/>
      </c>
      <c r="H79" s="21">
        <f>IF(A79="","",IF(D79=0,"Not run",IF(D79-E79-F79&gt;0,"No",IF(E79&gt;=3,"Yes","Needs 3 graded runs"))))</f>
        <v/>
      </c>
    </row>
    <row r="80">
      <c r="A80" s="21">
        <f>IF('Eval Cases'!A81="","",'Eval Cases'!A81)</f>
        <v/>
      </c>
      <c r="B80" s="21">
        <f>IF(A80="","",'Eval Cases'!B81)</f>
        <v/>
      </c>
      <c r="C80" s="21">
        <f>IF(A80="","",'Eval Cases'!C81)</f>
        <v/>
      </c>
      <c r="D80" s="21">
        <f>IF(A80="","",COUNTIF(Runs!$A$5:$A$1004,A80))</f>
        <v/>
      </c>
      <c r="E80" s="21">
        <f>IF(A80="","",COUNTIFS(Runs!$A$5:$A$1004,A80,Runs!$I$5:$I$1004,"Pass"))</f>
        <v/>
      </c>
      <c r="F80" s="21">
        <f>IF(A80="","",COUNTIFS(Runs!$A$5:$A$1004,A80,Runs!$I$5:$I$1004,"Can't tell"))</f>
        <v/>
      </c>
      <c r="G80" s="22">
        <f>IF(A80="","",IF(D80-F80=0,"",E80/(D80-F80)))</f>
        <v/>
      </c>
      <c r="H80" s="21">
        <f>IF(A80="","",IF(D80=0,"Not run",IF(D80-E80-F80&gt;0,"No",IF(E80&gt;=3,"Yes","Needs 3 graded runs"))))</f>
        <v/>
      </c>
    </row>
    <row r="81">
      <c r="A81" s="21">
        <f>IF('Eval Cases'!A82="","",'Eval Cases'!A82)</f>
        <v/>
      </c>
      <c r="B81" s="21">
        <f>IF(A81="","",'Eval Cases'!B82)</f>
        <v/>
      </c>
      <c r="C81" s="21">
        <f>IF(A81="","",'Eval Cases'!C82)</f>
        <v/>
      </c>
      <c r="D81" s="21">
        <f>IF(A81="","",COUNTIF(Runs!$A$5:$A$1004,A81))</f>
        <v/>
      </c>
      <c r="E81" s="21">
        <f>IF(A81="","",COUNTIFS(Runs!$A$5:$A$1004,A81,Runs!$I$5:$I$1004,"Pass"))</f>
        <v/>
      </c>
      <c r="F81" s="21">
        <f>IF(A81="","",COUNTIFS(Runs!$A$5:$A$1004,A81,Runs!$I$5:$I$1004,"Can't tell"))</f>
        <v/>
      </c>
      <c r="G81" s="22">
        <f>IF(A81="","",IF(D81-F81=0,"",E81/(D81-F81)))</f>
        <v/>
      </c>
      <c r="H81" s="21">
        <f>IF(A81="","",IF(D81=0,"Not run",IF(D81-E81-F81&gt;0,"No",IF(E81&gt;=3,"Yes","Needs 3 graded runs"))))</f>
        <v/>
      </c>
    </row>
    <row r="82">
      <c r="A82" s="21">
        <f>IF('Eval Cases'!A83="","",'Eval Cases'!A83)</f>
        <v/>
      </c>
      <c r="B82" s="21">
        <f>IF(A82="","",'Eval Cases'!B83)</f>
        <v/>
      </c>
      <c r="C82" s="21">
        <f>IF(A82="","",'Eval Cases'!C83)</f>
        <v/>
      </c>
      <c r="D82" s="21">
        <f>IF(A82="","",COUNTIF(Runs!$A$5:$A$1004,A82))</f>
        <v/>
      </c>
      <c r="E82" s="21">
        <f>IF(A82="","",COUNTIFS(Runs!$A$5:$A$1004,A82,Runs!$I$5:$I$1004,"Pass"))</f>
        <v/>
      </c>
      <c r="F82" s="21">
        <f>IF(A82="","",COUNTIFS(Runs!$A$5:$A$1004,A82,Runs!$I$5:$I$1004,"Can't tell"))</f>
        <v/>
      </c>
      <c r="G82" s="22">
        <f>IF(A82="","",IF(D82-F82=0,"",E82/(D82-F82)))</f>
        <v/>
      </c>
      <c r="H82" s="21">
        <f>IF(A82="","",IF(D82=0,"Not run",IF(D82-E82-F82&gt;0,"No",IF(E82&gt;=3,"Yes","Needs 3 graded runs"))))</f>
        <v/>
      </c>
    </row>
    <row r="83">
      <c r="A83" s="21">
        <f>IF('Eval Cases'!A84="","",'Eval Cases'!A84)</f>
        <v/>
      </c>
      <c r="B83" s="21">
        <f>IF(A83="","",'Eval Cases'!B84)</f>
        <v/>
      </c>
      <c r="C83" s="21">
        <f>IF(A83="","",'Eval Cases'!C84)</f>
        <v/>
      </c>
      <c r="D83" s="21">
        <f>IF(A83="","",COUNTIF(Runs!$A$5:$A$1004,A83))</f>
        <v/>
      </c>
      <c r="E83" s="21">
        <f>IF(A83="","",COUNTIFS(Runs!$A$5:$A$1004,A83,Runs!$I$5:$I$1004,"Pass"))</f>
        <v/>
      </c>
      <c r="F83" s="21">
        <f>IF(A83="","",COUNTIFS(Runs!$A$5:$A$1004,A83,Runs!$I$5:$I$1004,"Can't tell"))</f>
        <v/>
      </c>
      <c r="G83" s="22">
        <f>IF(A83="","",IF(D83-F83=0,"",E83/(D83-F83)))</f>
        <v/>
      </c>
      <c r="H83" s="21">
        <f>IF(A83="","",IF(D83=0,"Not run",IF(D83-E83-F83&gt;0,"No",IF(E83&gt;=3,"Yes","Needs 3 graded runs"))))</f>
        <v/>
      </c>
    </row>
    <row r="84">
      <c r="A84" s="21">
        <f>IF('Eval Cases'!A85="","",'Eval Cases'!A85)</f>
        <v/>
      </c>
      <c r="B84" s="21">
        <f>IF(A84="","",'Eval Cases'!B85)</f>
        <v/>
      </c>
      <c r="C84" s="21">
        <f>IF(A84="","",'Eval Cases'!C85)</f>
        <v/>
      </c>
      <c r="D84" s="21">
        <f>IF(A84="","",COUNTIF(Runs!$A$5:$A$1004,A84))</f>
        <v/>
      </c>
      <c r="E84" s="21">
        <f>IF(A84="","",COUNTIFS(Runs!$A$5:$A$1004,A84,Runs!$I$5:$I$1004,"Pass"))</f>
        <v/>
      </c>
      <c r="F84" s="21">
        <f>IF(A84="","",COUNTIFS(Runs!$A$5:$A$1004,A84,Runs!$I$5:$I$1004,"Can't tell"))</f>
        <v/>
      </c>
      <c r="G84" s="22">
        <f>IF(A84="","",IF(D84-F84=0,"",E84/(D84-F84)))</f>
        <v/>
      </c>
      <c r="H84" s="21">
        <f>IF(A84="","",IF(D84=0,"Not run",IF(D84-E84-F84&gt;0,"No",IF(E84&gt;=3,"Yes","Needs 3 graded runs"))))</f>
        <v/>
      </c>
    </row>
    <row r="85">
      <c r="A85" s="21">
        <f>IF('Eval Cases'!A86="","",'Eval Cases'!A86)</f>
        <v/>
      </c>
      <c r="B85" s="21">
        <f>IF(A85="","",'Eval Cases'!B86)</f>
        <v/>
      </c>
      <c r="C85" s="21">
        <f>IF(A85="","",'Eval Cases'!C86)</f>
        <v/>
      </c>
      <c r="D85" s="21">
        <f>IF(A85="","",COUNTIF(Runs!$A$5:$A$1004,A85))</f>
        <v/>
      </c>
      <c r="E85" s="21">
        <f>IF(A85="","",COUNTIFS(Runs!$A$5:$A$1004,A85,Runs!$I$5:$I$1004,"Pass"))</f>
        <v/>
      </c>
      <c r="F85" s="21">
        <f>IF(A85="","",COUNTIFS(Runs!$A$5:$A$1004,A85,Runs!$I$5:$I$1004,"Can't tell"))</f>
        <v/>
      </c>
      <c r="G85" s="22">
        <f>IF(A85="","",IF(D85-F85=0,"",E85/(D85-F85)))</f>
        <v/>
      </c>
      <c r="H85" s="21">
        <f>IF(A85="","",IF(D85=0,"Not run",IF(D85-E85-F85&gt;0,"No",IF(E85&gt;=3,"Yes","Needs 3 graded runs"))))</f>
        <v/>
      </c>
    </row>
    <row r="86">
      <c r="A86" s="21">
        <f>IF('Eval Cases'!A87="","",'Eval Cases'!A87)</f>
        <v/>
      </c>
      <c r="B86" s="21">
        <f>IF(A86="","",'Eval Cases'!B87)</f>
        <v/>
      </c>
      <c r="C86" s="21">
        <f>IF(A86="","",'Eval Cases'!C87)</f>
        <v/>
      </c>
      <c r="D86" s="21">
        <f>IF(A86="","",COUNTIF(Runs!$A$5:$A$1004,A86))</f>
        <v/>
      </c>
      <c r="E86" s="21">
        <f>IF(A86="","",COUNTIFS(Runs!$A$5:$A$1004,A86,Runs!$I$5:$I$1004,"Pass"))</f>
        <v/>
      </c>
      <c r="F86" s="21">
        <f>IF(A86="","",COUNTIFS(Runs!$A$5:$A$1004,A86,Runs!$I$5:$I$1004,"Can't tell"))</f>
        <v/>
      </c>
      <c r="G86" s="22">
        <f>IF(A86="","",IF(D86-F86=0,"",E86/(D86-F86)))</f>
        <v/>
      </c>
      <c r="H86" s="21">
        <f>IF(A86="","",IF(D86=0,"Not run",IF(D86-E86-F86&gt;0,"No",IF(E86&gt;=3,"Yes","Needs 3 graded runs"))))</f>
        <v/>
      </c>
    </row>
    <row r="87">
      <c r="A87" s="21">
        <f>IF('Eval Cases'!A88="","",'Eval Cases'!A88)</f>
        <v/>
      </c>
      <c r="B87" s="21">
        <f>IF(A87="","",'Eval Cases'!B88)</f>
        <v/>
      </c>
      <c r="C87" s="21">
        <f>IF(A87="","",'Eval Cases'!C88)</f>
        <v/>
      </c>
      <c r="D87" s="21">
        <f>IF(A87="","",COUNTIF(Runs!$A$5:$A$1004,A87))</f>
        <v/>
      </c>
      <c r="E87" s="21">
        <f>IF(A87="","",COUNTIFS(Runs!$A$5:$A$1004,A87,Runs!$I$5:$I$1004,"Pass"))</f>
        <v/>
      </c>
      <c r="F87" s="21">
        <f>IF(A87="","",COUNTIFS(Runs!$A$5:$A$1004,A87,Runs!$I$5:$I$1004,"Can't tell"))</f>
        <v/>
      </c>
      <c r="G87" s="22">
        <f>IF(A87="","",IF(D87-F87=0,"",E87/(D87-F87)))</f>
        <v/>
      </c>
      <c r="H87" s="21">
        <f>IF(A87="","",IF(D87=0,"Not run",IF(D87-E87-F87&gt;0,"No",IF(E87&gt;=3,"Yes","Needs 3 graded runs"))))</f>
        <v/>
      </c>
    </row>
    <row r="88">
      <c r="A88" s="21">
        <f>IF('Eval Cases'!A89="","",'Eval Cases'!A89)</f>
        <v/>
      </c>
      <c r="B88" s="21">
        <f>IF(A88="","",'Eval Cases'!B89)</f>
        <v/>
      </c>
      <c r="C88" s="21">
        <f>IF(A88="","",'Eval Cases'!C89)</f>
        <v/>
      </c>
      <c r="D88" s="21">
        <f>IF(A88="","",COUNTIF(Runs!$A$5:$A$1004,A88))</f>
        <v/>
      </c>
      <c r="E88" s="21">
        <f>IF(A88="","",COUNTIFS(Runs!$A$5:$A$1004,A88,Runs!$I$5:$I$1004,"Pass"))</f>
        <v/>
      </c>
      <c r="F88" s="21">
        <f>IF(A88="","",COUNTIFS(Runs!$A$5:$A$1004,A88,Runs!$I$5:$I$1004,"Can't tell"))</f>
        <v/>
      </c>
      <c r="G88" s="22">
        <f>IF(A88="","",IF(D88-F88=0,"",E88/(D88-F88)))</f>
        <v/>
      </c>
      <c r="H88" s="21">
        <f>IF(A88="","",IF(D88=0,"Not run",IF(D88-E88-F88&gt;0,"No",IF(E88&gt;=3,"Yes","Needs 3 graded runs"))))</f>
        <v/>
      </c>
    </row>
    <row r="89">
      <c r="A89" s="21">
        <f>IF('Eval Cases'!A90="","",'Eval Cases'!A90)</f>
        <v/>
      </c>
      <c r="B89" s="21">
        <f>IF(A89="","",'Eval Cases'!B90)</f>
        <v/>
      </c>
      <c r="C89" s="21">
        <f>IF(A89="","",'Eval Cases'!C90)</f>
        <v/>
      </c>
      <c r="D89" s="21">
        <f>IF(A89="","",COUNTIF(Runs!$A$5:$A$1004,A89))</f>
        <v/>
      </c>
      <c r="E89" s="21">
        <f>IF(A89="","",COUNTIFS(Runs!$A$5:$A$1004,A89,Runs!$I$5:$I$1004,"Pass"))</f>
        <v/>
      </c>
      <c r="F89" s="21">
        <f>IF(A89="","",COUNTIFS(Runs!$A$5:$A$1004,A89,Runs!$I$5:$I$1004,"Can't tell"))</f>
        <v/>
      </c>
      <c r="G89" s="22">
        <f>IF(A89="","",IF(D89-F89=0,"",E89/(D89-F89)))</f>
        <v/>
      </c>
      <c r="H89" s="21">
        <f>IF(A89="","",IF(D89=0,"Not run",IF(D89-E89-F89&gt;0,"No",IF(E89&gt;=3,"Yes","Needs 3 graded runs"))))</f>
        <v/>
      </c>
    </row>
    <row r="90">
      <c r="A90" s="21">
        <f>IF('Eval Cases'!A91="","",'Eval Cases'!A91)</f>
        <v/>
      </c>
      <c r="B90" s="21">
        <f>IF(A90="","",'Eval Cases'!B91)</f>
        <v/>
      </c>
      <c r="C90" s="21">
        <f>IF(A90="","",'Eval Cases'!C91)</f>
        <v/>
      </c>
      <c r="D90" s="21">
        <f>IF(A90="","",COUNTIF(Runs!$A$5:$A$1004,A90))</f>
        <v/>
      </c>
      <c r="E90" s="21">
        <f>IF(A90="","",COUNTIFS(Runs!$A$5:$A$1004,A90,Runs!$I$5:$I$1004,"Pass"))</f>
        <v/>
      </c>
      <c r="F90" s="21">
        <f>IF(A90="","",COUNTIFS(Runs!$A$5:$A$1004,A90,Runs!$I$5:$I$1004,"Can't tell"))</f>
        <v/>
      </c>
      <c r="G90" s="22">
        <f>IF(A90="","",IF(D90-F90=0,"",E90/(D90-F90)))</f>
        <v/>
      </c>
      <c r="H90" s="21">
        <f>IF(A90="","",IF(D90=0,"Not run",IF(D90-E90-F90&gt;0,"No",IF(E90&gt;=3,"Yes","Needs 3 graded runs"))))</f>
        <v/>
      </c>
    </row>
    <row r="91">
      <c r="A91" s="21">
        <f>IF('Eval Cases'!A92="","",'Eval Cases'!A92)</f>
        <v/>
      </c>
      <c r="B91" s="21">
        <f>IF(A91="","",'Eval Cases'!B92)</f>
        <v/>
      </c>
      <c r="C91" s="21">
        <f>IF(A91="","",'Eval Cases'!C92)</f>
        <v/>
      </c>
      <c r="D91" s="21">
        <f>IF(A91="","",COUNTIF(Runs!$A$5:$A$1004,A91))</f>
        <v/>
      </c>
      <c r="E91" s="21">
        <f>IF(A91="","",COUNTIFS(Runs!$A$5:$A$1004,A91,Runs!$I$5:$I$1004,"Pass"))</f>
        <v/>
      </c>
      <c r="F91" s="21">
        <f>IF(A91="","",COUNTIFS(Runs!$A$5:$A$1004,A91,Runs!$I$5:$I$1004,"Can't tell"))</f>
        <v/>
      </c>
      <c r="G91" s="22">
        <f>IF(A91="","",IF(D91-F91=0,"",E91/(D91-F91)))</f>
        <v/>
      </c>
      <c r="H91" s="21">
        <f>IF(A91="","",IF(D91=0,"Not run",IF(D91-E91-F91&gt;0,"No",IF(E91&gt;=3,"Yes","Needs 3 graded runs"))))</f>
        <v/>
      </c>
    </row>
    <row r="92">
      <c r="A92" s="21">
        <f>IF('Eval Cases'!A93="","",'Eval Cases'!A93)</f>
        <v/>
      </c>
      <c r="B92" s="21">
        <f>IF(A92="","",'Eval Cases'!B93)</f>
        <v/>
      </c>
      <c r="C92" s="21">
        <f>IF(A92="","",'Eval Cases'!C93)</f>
        <v/>
      </c>
      <c r="D92" s="21">
        <f>IF(A92="","",COUNTIF(Runs!$A$5:$A$1004,A92))</f>
        <v/>
      </c>
      <c r="E92" s="21">
        <f>IF(A92="","",COUNTIFS(Runs!$A$5:$A$1004,A92,Runs!$I$5:$I$1004,"Pass"))</f>
        <v/>
      </c>
      <c r="F92" s="21">
        <f>IF(A92="","",COUNTIFS(Runs!$A$5:$A$1004,A92,Runs!$I$5:$I$1004,"Can't tell"))</f>
        <v/>
      </c>
      <c r="G92" s="22">
        <f>IF(A92="","",IF(D92-F92=0,"",E92/(D92-F92)))</f>
        <v/>
      </c>
      <c r="H92" s="21">
        <f>IF(A92="","",IF(D92=0,"Not run",IF(D92-E92-F92&gt;0,"No",IF(E92&gt;=3,"Yes","Needs 3 graded runs"))))</f>
        <v/>
      </c>
    </row>
    <row r="93">
      <c r="A93" s="21">
        <f>IF('Eval Cases'!A94="","",'Eval Cases'!A94)</f>
        <v/>
      </c>
      <c r="B93" s="21">
        <f>IF(A93="","",'Eval Cases'!B94)</f>
        <v/>
      </c>
      <c r="C93" s="21">
        <f>IF(A93="","",'Eval Cases'!C94)</f>
        <v/>
      </c>
      <c r="D93" s="21">
        <f>IF(A93="","",COUNTIF(Runs!$A$5:$A$1004,A93))</f>
        <v/>
      </c>
      <c r="E93" s="21">
        <f>IF(A93="","",COUNTIFS(Runs!$A$5:$A$1004,A93,Runs!$I$5:$I$1004,"Pass"))</f>
        <v/>
      </c>
      <c r="F93" s="21">
        <f>IF(A93="","",COUNTIFS(Runs!$A$5:$A$1004,A93,Runs!$I$5:$I$1004,"Can't tell"))</f>
        <v/>
      </c>
      <c r="G93" s="22">
        <f>IF(A93="","",IF(D93-F93=0,"",E93/(D93-F93)))</f>
        <v/>
      </c>
      <c r="H93" s="21">
        <f>IF(A93="","",IF(D93=0,"Not run",IF(D93-E93-F93&gt;0,"No",IF(E93&gt;=3,"Yes","Needs 3 graded runs"))))</f>
        <v/>
      </c>
    </row>
    <row r="94">
      <c r="A94" s="21">
        <f>IF('Eval Cases'!A95="","",'Eval Cases'!A95)</f>
        <v/>
      </c>
      <c r="B94" s="21">
        <f>IF(A94="","",'Eval Cases'!B95)</f>
        <v/>
      </c>
      <c r="C94" s="21">
        <f>IF(A94="","",'Eval Cases'!C95)</f>
        <v/>
      </c>
      <c r="D94" s="21">
        <f>IF(A94="","",COUNTIF(Runs!$A$5:$A$1004,A94))</f>
        <v/>
      </c>
      <c r="E94" s="21">
        <f>IF(A94="","",COUNTIFS(Runs!$A$5:$A$1004,A94,Runs!$I$5:$I$1004,"Pass"))</f>
        <v/>
      </c>
      <c r="F94" s="21">
        <f>IF(A94="","",COUNTIFS(Runs!$A$5:$A$1004,A94,Runs!$I$5:$I$1004,"Can't tell"))</f>
        <v/>
      </c>
      <c r="G94" s="22">
        <f>IF(A94="","",IF(D94-F94=0,"",E94/(D94-F94)))</f>
        <v/>
      </c>
      <c r="H94" s="21">
        <f>IF(A94="","",IF(D94=0,"Not run",IF(D94-E94-F94&gt;0,"No",IF(E94&gt;=3,"Yes","Needs 3 graded runs"))))</f>
        <v/>
      </c>
    </row>
    <row r="95">
      <c r="A95" s="21">
        <f>IF('Eval Cases'!A96="","",'Eval Cases'!A96)</f>
        <v/>
      </c>
      <c r="B95" s="21">
        <f>IF(A95="","",'Eval Cases'!B96)</f>
        <v/>
      </c>
      <c r="C95" s="21">
        <f>IF(A95="","",'Eval Cases'!C96)</f>
        <v/>
      </c>
      <c r="D95" s="21">
        <f>IF(A95="","",COUNTIF(Runs!$A$5:$A$1004,A95))</f>
        <v/>
      </c>
      <c r="E95" s="21">
        <f>IF(A95="","",COUNTIFS(Runs!$A$5:$A$1004,A95,Runs!$I$5:$I$1004,"Pass"))</f>
        <v/>
      </c>
      <c r="F95" s="21">
        <f>IF(A95="","",COUNTIFS(Runs!$A$5:$A$1004,A95,Runs!$I$5:$I$1004,"Can't tell"))</f>
        <v/>
      </c>
      <c r="G95" s="22">
        <f>IF(A95="","",IF(D95-F95=0,"",E95/(D95-F95)))</f>
        <v/>
      </c>
      <c r="H95" s="21">
        <f>IF(A95="","",IF(D95=0,"Not run",IF(D95-E95-F95&gt;0,"No",IF(E95&gt;=3,"Yes","Needs 3 graded runs"))))</f>
        <v/>
      </c>
    </row>
    <row r="96">
      <c r="A96" s="21">
        <f>IF('Eval Cases'!A97="","",'Eval Cases'!A97)</f>
        <v/>
      </c>
      <c r="B96" s="21">
        <f>IF(A96="","",'Eval Cases'!B97)</f>
        <v/>
      </c>
      <c r="C96" s="21">
        <f>IF(A96="","",'Eval Cases'!C97)</f>
        <v/>
      </c>
      <c r="D96" s="21">
        <f>IF(A96="","",COUNTIF(Runs!$A$5:$A$1004,A96))</f>
        <v/>
      </c>
      <c r="E96" s="21">
        <f>IF(A96="","",COUNTIFS(Runs!$A$5:$A$1004,A96,Runs!$I$5:$I$1004,"Pass"))</f>
        <v/>
      </c>
      <c r="F96" s="21">
        <f>IF(A96="","",COUNTIFS(Runs!$A$5:$A$1004,A96,Runs!$I$5:$I$1004,"Can't tell"))</f>
        <v/>
      </c>
      <c r="G96" s="22">
        <f>IF(A96="","",IF(D96-F96=0,"",E96/(D96-F96)))</f>
        <v/>
      </c>
      <c r="H96" s="21">
        <f>IF(A96="","",IF(D96=0,"Not run",IF(D96-E96-F96&gt;0,"No",IF(E96&gt;=3,"Yes","Needs 3 graded runs"))))</f>
        <v/>
      </c>
    </row>
    <row r="97">
      <c r="A97" s="21">
        <f>IF('Eval Cases'!A98="","",'Eval Cases'!A98)</f>
        <v/>
      </c>
      <c r="B97" s="21">
        <f>IF(A97="","",'Eval Cases'!B98)</f>
        <v/>
      </c>
      <c r="C97" s="21">
        <f>IF(A97="","",'Eval Cases'!C98)</f>
        <v/>
      </c>
      <c r="D97" s="21">
        <f>IF(A97="","",COUNTIF(Runs!$A$5:$A$1004,A97))</f>
        <v/>
      </c>
      <c r="E97" s="21">
        <f>IF(A97="","",COUNTIFS(Runs!$A$5:$A$1004,A97,Runs!$I$5:$I$1004,"Pass"))</f>
        <v/>
      </c>
      <c r="F97" s="21">
        <f>IF(A97="","",COUNTIFS(Runs!$A$5:$A$1004,A97,Runs!$I$5:$I$1004,"Can't tell"))</f>
        <v/>
      </c>
      <c r="G97" s="22">
        <f>IF(A97="","",IF(D97-F97=0,"",E97/(D97-F97)))</f>
        <v/>
      </c>
      <c r="H97" s="21">
        <f>IF(A97="","",IF(D97=0,"Not run",IF(D97-E97-F97&gt;0,"No",IF(E97&gt;=3,"Yes","Needs 3 graded runs"))))</f>
        <v/>
      </c>
    </row>
    <row r="98">
      <c r="A98" s="21">
        <f>IF('Eval Cases'!A99="","",'Eval Cases'!A99)</f>
        <v/>
      </c>
      <c r="B98" s="21">
        <f>IF(A98="","",'Eval Cases'!B99)</f>
        <v/>
      </c>
      <c r="C98" s="21">
        <f>IF(A98="","",'Eval Cases'!C99)</f>
        <v/>
      </c>
      <c r="D98" s="21">
        <f>IF(A98="","",COUNTIF(Runs!$A$5:$A$1004,A98))</f>
        <v/>
      </c>
      <c r="E98" s="21">
        <f>IF(A98="","",COUNTIFS(Runs!$A$5:$A$1004,A98,Runs!$I$5:$I$1004,"Pass"))</f>
        <v/>
      </c>
      <c r="F98" s="21">
        <f>IF(A98="","",COUNTIFS(Runs!$A$5:$A$1004,A98,Runs!$I$5:$I$1004,"Can't tell"))</f>
        <v/>
      </c>
      <c r="G98" s="22">
        <f>IF(A98="","",IF(D98-F98=0,"",E98/(D98-F98)))</f>
        <v/>
      </c>
      <c r="H98" s="21">
        <f>IF(A98="","",IF(D98=0,"Not run",IF(D98-E98-F98&gt;0,"No",IF(E98&gt;=3,"Yes","Needs 3 graded runs"))))</f>
        <v/>
      </c>
    </row>
    <row r="99">
      <c r="A99" s="21">
        <f>IF('Eval Cases'!A100="","",'Eval Cases'!A100)</f>
        <v/>
      </c>
      <c r="B99" s="21">
        <f>IF(A99="","",'Eval Cases'!B100)</f>
        <v/>
      </c>
      <c r="C99" s="21">
        <f>IF(A99="","",'Eval Cases'!C100)</f>
        <v/>
      </c>
      <c r="D99" s="21">
        <f>IF(A99="","",COUNTIF(Runs!$A$5:$A$1004,A99))</f>
        <v/>
      </c>
      <c r="E99" s="21">
        <f>IF(A99="","",COUNTIFS(Runs!$A$5:$A$1004,A99,Runs!$I$5:$I$1004,"Pass"))</f>
        <v/>
      </c>
      <c r="F99" s="21">
        <f>IF(A99="","",COUNTIFS(Runs!$A$5:$A$1004,A99,Runs!$I$5:$I$1004,"Can't tell"))</f>
        <v/>
      </c>
      <c r="G99" s="22">
        <f>IF(A99="","",IF(D99-F99=0,"",E99/(D99-F99)))</f>
        <v/>
      </c>
      <c r="H99" s="21">
        <f>IF(A99="","",IF(D99=0,"Not run",IF(D99-E99-F99&gt;0,"No",IF(E99&gt;=3,"Yes","Needs 3 graded runs"))))</f>
        <v/>
      </c>
    </row>
    <row r="100">
      <c r="A100" s="21">
        <f>IF('Eval Cases'!A101="","",'Eval Cases'!A101)</f>
        <v/>
      </c>
      <c r="B100" s="21">
        <f>IF(A100="","",'Eval Cases'!B101)</f>
        <v/>
      </c>
      <c r="C100" s="21">
        <f>IF(A100="","",'Eval Cases'!C101)</f>
        <v/>
      </c>
      <c r="D100" s="21">
        <f>IF(A100="","",COUNTIF(Runs!$A$5:$A$1004,A100))</f>
        <v/>
      </c>
      <c r="E100" s="21">
        <f>IF(A100="","",COUNTIFS(Runs!$A$5:$A$1004,A100,Runs!$I$5:$I$1004,"Pass"))</f>
        <v/>
      </c>
      <c r="F100" s="21">
        <f>IF(A100="","",COUNTIFS(Runs!$A$5:$A$1004,A100,Runs!$I$5:$I$1004,"Can't tell"))</f>
        <v/>
      </c>
      <c r="G100" s="22">
        <f>IF(A100="","",IF(D100-F100=0,"",E100/(D100-F100)))</f>
        <v/>
      </c>
      <c r="H100" s="21">
        <f>IF(A100="","",IF(D100=0,"Not run",IF(D100-E100-F100&gt;0,"No",IF(E100&gt;=3,"Yes","Needs 3 graded runs"))))</f>
        <v/>
      </c>
    </row>
    <row r="101">
      <c r="A101" s="21">
        <f>IF('Eval Cases'!A102="","",'Eval Cases'!A102)</f>
        <v/>
      </c>
      <c r="B101" s="21">
        <f>IF(A101="","",'Eval Cases'!B102)</f>
        <v/>
      </c>
      <c r="C101" s="21">
        <f>IF(A101="","",'Eval Cases'!C102)</f>
        <v/>
      </c>
      <c r="D101" s="21">
        <f>IF(A101="","",COUNTIF(Runs!$A$5:$A$1004,A101))</f>
        <v/>
      </c>
      <c r="E101" s="21">
        <f>IF(A101="","",COUNTIFS(Runs!$A$5:$A$1004,A101,Runs!$I$5:$I$1004,"Pass"))</f>
        <v/>
      </c>
      <c r="F101" s="21">
        <f>IF(A101="","",COUNTIFS(Runs!$A$5:$A$1004,A101,Runs!$I$5:$I$1004,"Can't tell"))</f>
        <v/>
      </c>
      <c r="G101" s="22">
        <f>IF(A101="","",IF(D101-F101=0,"",E101/(D101-F101)))</f>
        <v/>
      </c>
      <c r="H101" s="21">
        <f>IF(A101="","",IF(D101=0,"Not run",IF(D101-E101-F101&gt;0,"No",IF(E101&gt;=3,"Yes","Needs 3 graded runs"))))</f>
        <v/>
      </c>
    </row>
    <row r="102">
      <c r="A102" s="21">
        <f>IF('Eval Cases'!A103="","",'Eval Cases'!A103)</f>
        <v/>
      </c>
      <c r="B102" s="21">
        <f>IF(A102="","",'Eval Cases'!B103)</f>
        <v/>
      </c>
      <c r="C102" s="21">
        <f>IF(A102="","",'Eval Cases'!C103)</f>
        <v/>
      </c>
      <c r="D102" s="21">
        <f>IF(A102="","",COUNTIF(Runs!$A$5:$A$1004,A102))</f>
        <v/>
      </c>
      <c r="E102" s="21">
        <f>IF(A102="","",COUNTIFS(Runs!$A$5:$A$1004,A102,Runs!$I$5:$I$1004,"Pass"))</f>
        <v/>
      </c>
      <c r="F102" s="21">
        <f>IF(A102="","",COUNTIFS(Runs!$A$5:$A$1004,A102,Runs!$I$5:$I$1004,"Can't tell"))</f>
        <v/>
      </c>
      <c r="G102" s="22">
        <f>IF(A102="","",IF(D102-F102=0,"",E102/(D102-F102)))</f>
        <v/>
      </c>
      <c r="H102" s="21">
        <f>IF(A102="","",IF(D102=0,"Not run",IF(D102-E102-F102&gt;0,"No",IF(E102&gt;=3,"Yes","Needs 3 graded runs"))))</f>
        <v/>
      </c>
    </row>
    <row r="103">
      <c r="A103" s="21">
        <f>IF('Eval Cases'!A104="","",'Eval Cases'!A104)</f>
        <v/>
      </c>
      <c r="B103" s="21">
        <f>IF(A103="","",'Eval Cases'!B104)</f>
        <v/>
      </c>
      <c r="C103" s="21">
        <f>IF(A103="","",'Eval Cases'!C104)</f>
        <v/>
      </c>
      <c r="D103" s="21">
        <f>IF(A103="","",COUNTIF(Runs!$A$5:$A$1004,A103))</f>
        <v/>
      </c>
      <c r="E103" s="21">
        <f>IF(A103="","",COUNTIFS(Runs!$A$5:$A$1004,A103,Runs!$I$5:$I$1004,"Pass"))</f>
        <v/>
      </c>
      <c r="F103" s="21">
        <f>IF(A103="","",COUNTIFS(Runs!$A$5:$A$1004,A103,Runs!$I$5:$I$1004,"Can't tell"))</f>
        <v/>
      </c>
      <c r="G103" s="22">
        <f>IF(A103="","",IF(D103-F103=0,"",E103/(D103-F103)))</f>
        <v/>
      </c>
      <c r="H103" s="21">
        <f>IF(A103="","",IF(D103=0,"Not run",IF(D103-E103-F103&gt;0,"No",IF(E103&gt;=3,"Yes","Needs 3 graded runs"))))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H4:H103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2" customWidth="1" min="4" max="4"/>
    <col width="26" customWidth="1" min="5" max="5"/>
    <col width="18" customWidth="1" min="6" max="6"/>
    <col width="12" customWidth="1" min="7" max="7"/>
  </cols>
  <sheetData>
    <row r="1">
      <c r="A1" s="9" t="inlineStr">
        <is>
          <t>Decisions</t>
        </is>
      </c>
    </row>
    <row r="2">
      <c r="A2" s="2" t="inlineStr">
        <is>
          <t>A decision for each target task and each gap found. Row 4 is an example.</t>
        </is>
      </c>
    </row>
    <row r="3" ht="42" customHeight="1">
      <c r="A3" s="10" t="inlineStr">
        <is>
          <t>Item ID</t>
        </is>
      </c>
      <c r="B3" s="10" t="inlineStr">
        <is>
          <t>Target task</t>
        </is>
      </c>
      <c r="C3" s="10" t="inlineStr">
        <is>
          <t>What it does not handle yet</t>
        </is>
      </c>
      <c r="D3" s="10" t="inlineStr">
        <is>
          <t>Found in (case or review)</t>
        </is>
      </c>
      <c r="E3" s="10" t="inlineStr">
        <is>
          <t>Decision</t>
        </is>
      </c>
      <c r="F3" s="10" t="inlineStr">
        <is>
          <t>Owner (role)</t>
        </is>
      </c>
      <c r="G3" s="10" t="inlineStr">
        <is>
          <t>Target date</t>
        </is>
      </c>
    </row>
    <row r="4">
      <c r="A4" s="11" t="inlineStr">
        <is>
          <t>G-EX</t>
        </is>
      </c>
      <c r="B4" s="11" t="inlineStr">
        <is>
          <t>Bug fix from a closed issue</t>
        </is>
      </c>
      <c r="C4" s="11" t="inlineStr">
        <is>
          <t>Fixes that need the production logs to diagnose</t>
        </is>
      </c>
      <c r="D4" s="11" t="inlineStr">
        <is>
          <t>EX-01 review</t>
        </is>
      </c>
      <c r="E4" s="11" t="inlineStr">
        <is>
          <t>Add a tool or MCP server</t>
        </is>
      </c>
      <c r="F4" s="11" t="inlineStr">
        <is>
          <t>Backend lead</t>
        </is>
      </c>
      <c r="G4" s="11" t="inlineStr">
        <is>
          <t>YYYY-MM-DD</t>
        </is>
      </c>
    </row>
    <row r="5">
      <c r="A5" s="12" t="n"/>
      <c r="B5" s="12" t="n"/>
      <c r="C5" s="12" t="n"/>
      <c r="D5" s="12" t="n"/>
      <c r="E5" s="12" t="n"/>
      <c r="F5" s="12" t="n"/>
      <c r="G5" s="12" t="n"/>
    </row>
    <row r="6">
      <c r="A6" s="12" t="n"/>
      <c r="B6" s="12" t="n"/>
      <c r="C6" s="12" t="n"/>
      <c r="D6" s="12" t="n"/>
      <c r="E6" s="12" t="n"/>
      <c r="F6" s="12" t="n"/>
      <c r="G6" s="12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  <row r="43">
      <c r="A43" s="12" t="n"/>
      <c r="B43" s="12" t="n"/>
      <c r="C43" s="12" t="n"/>
      <c r="D43" s="12" t="n"/>
      <c r="E43" s="12" t="n"/>
      <c r="F43" s="12" t="n"/>
      <c r="G43" s="12" t="n"/>
    </row>
    <row r="44">
      <c r="A44" s="12" t="n"/>
      <c r="B44" s="12" t="n"/>
      <c r="C44" s="12" t="n"/>
      <c r="D44" s="12" t="n"/>
      <c r="E44" s="12" t="n"/>
      <c r="F44" s="12" t="n"/>
      <c r="G44" s="12" t="n"/>
    </row>
    <row r="45">
      <c r="A45" s="12" t="n"/>
      <c r="B45" s="12" t="n"/>
      <c r="C45" s="12" t="n"/>
      <c r="D45" s="12" t="n"/>
      <c r="E45" s="12" t="n"/>
      <c r="F45" s="12" t="n"/>
      <c r="G45" s="12" t="n"/>
    </row>
    <row r="46">
      <c r="A46" s="12" t="n"/>
      <c r="B46" s="12" t="n"/>
      <c r="C46" s="12" t="n"/>
      <c r="D46" s="12" t="n"/>
      <c r="E46" s="12" t="n"/>
      <c r="F46" s="12" t="n"/>
      <c r="G46" s="12" t="n"/>
    </row>
    <row r="47">
      <c r="A47" s="12" t="n"/>
      <c r="B47" s="12" t="n"/>
      <c r="C47" s="12" t="n"/>
      <c r="D47" s="12" t="n"/>
      <c r="E47" s="12" t="n"/>
      <c r="F47" s="12" t="n"/>
      <c r="G47" s="12" t="n"/>
    </row>
    <row r="48">
      <c r="A48" s="12" t="n"/>
      <c r="B48" s="12" t="n"/>
      <c r="C48" s="12" t="n"/>
      <c r="D48" s="12" t="n"/>
      <c r="E48" s="12" t="n"/>
      <c r="F48" s="12" t="n"/>
      <c r="G48" s="12" t="n"/>
    </row>
    <row r="49">
      <c r="A49" s="12" t="n"/>
      <c r="B49" s="12" t="n"/>
      <c r="C49" s="12" t="n"/>
      <c r="D49" s="12" t="n"/>
      <c r="E49" s="12" t="n"/>
      <c r="F49" s="12" t="n"/>
      <c r="G49" s="12" t="n"/>
    </row>
    <row r="50">
      <c r="A50" s="12" t="n"/>
      <c r="B50" s="12" t="n"/>
      <c r="C50" s="12" t="n"/>
      <c r="D50" s="12" t="n"/>
      <c r="E50" s="12" t="n"/>
      <c r="F50" s="12" t="n"/>
      <c r="G50" s="12" t="n"/>
    </row>
    <row r="51">
      <c r="A51" s="12" t="n"/>
      <c r="B51" s="12" t="n"/>
      <c r="C51" s="12" t="n"/>
      <c r="D51" s="12" t="n"/>
      <c r="E51" s="12" t="n"/>
      <c r="F51" s="12" t="n"/>
      <c r="G51" s="12" t="n"/>
    </row>
    <row r="52">
      <c r="A52" s="12" t="n"/>
      <c r="B52" s="12" t="n"/>
      <c r="C52" s="12" t="n"/>
      <c r="D52" s="12" t="n"/>
      <c r="E52" s="12" t="n"/>
      <c r="F52" s="12" t="n"/>
      <c r="G52" s="12" t="n"/>
    </row>
    <row r="53">
      <c r="A53" s="12" t="n"/>
      <c r="B53" s="12" t="n"/>
      <c r="C53" s="12" t="n"/>
      <c r="D53" s="12" t="n"/>
      <c r="E53" s="12" t="n"/>
      <c r="F53" s="12" t="n"/>
      <c r="G53" s="12" t="n"/>
    </row>
    <row r="54">
      <c r="A54" s="12" t="n"/>
      <c r="B54" s="12" t="n"/>
      <c r="C54" s="12" t="n"/>
      <c r="D54" s="12" t="n"/>
      <c r="E54" s="12" t="n"/>
      <c r="F54" s="12" t="n"/>
      <c r="G54" s="12" t="n"/>
    </row>
    <row r="55">
      <c r="A55" s="12" t="n"/>
      <c r="B55" s="12" t="n"/>
      <c r="C55" s="12" t="n"/>
      <c r="D55" s="12" t="n"/>
      <c r="E55" s="12" t="n"/>
      <c r="F55" s="12" t="n"/>
      <c r="G55" s="12" t="n"/>
    </row>
    <row r="56">
      <c r="A56" s="12" t="n"/>
      <c r="B56" s="12" t="n"/>
      <c r="C56" s="12" t="n"/>
      <c r="D56" s="12" t="n"/>
      <c r="E56" s="12" t="n"/>
      <c r="F56" s="12" t="n"/>
      <c r="G56" s="12" t="n"/>
    </row>
    <row r="57">
      <c r="A57" s="12" t="n"/>
      <c r="B57" s="12" t="n"/>
      <c r="C57" s="12" t="n"/>
      <c r="D57" s="12" t="n"/>
      <c r="E57" s="12" t="n"/>
      <c r="F57" s="12" t="n"/>
      <c r="G57" s="12" t="n"/>
    </row>
    <row r="58">
      <c r="A58" s="12" t="n"/>
      <c r="B58" s="12" t="n"/>
      <c r="C58" s="12" t="n"/>
      <c r="D58" s="12" t="n"/>
      <c r="E58" s="12" t="n"/>
      <c r="F58" s="12" t="n"/>
      <c r="G58" s="12" t="n"/>
    </row>
    <row r="59">
      <c r="A59" s="12" t="n"/>
      <c r="B59" s="12" t="n"/>
      <c r="C59" s="12" t="n"/>
      <c r="D59" s="12" t="n"/>
      <c r="E59" s="12" t="n"/>
      <c r="F59" s="12" t="n"/>
      <c r="G59" s="12" t="n"/>
    </row>
    <row r="60">
      <c r="A60" s="12" t="n"/>
      <c r="B60" s="12" t="n"/>
      <c r="C60" s="12" t="n"/>
      <c r="D60" s="12" t="n"/>
      <c r="E60" s="12" t="n"/>
      <c r="F60" s="12" t="n"/>
      <c r="G60" s="12" t="n"/>
    </row>
    <row r="61">
      <c r="A61" s="12" t="n"/>
      <c r="B61" s="12" t="n"/>
      <c r="C61" s="12" t="n"/>
      <c r="D61" s="12" t="n"/>
      <c r="E61" s="12" t="n"/>
      <c r="F61" s="12" t="n"/>
      <c r="G61" s="12" t="n"/>
    </row>
    <row r="62">
      <c r="A62" s="12" t="n"/>
      <c r="B62" s="12" t="n"/>
      <c r="C62" s="12" t="n"/>
      <c r="D62" s="12" t="n"/>
      <c r="E62" s="12" t="n"/>
      <c r="F62" s="12" t="n"/>
      <c r="G62" s="12" t="n"/>
    </row>
    <row r="63">
      <c r="A63" s="12" t="n"/>
      <c r="B63" s="12" t="n"/>
      <c r="C63" s="12" t="n"/>
      <c r="D63" s="12" t="n"/>
      <c r="E63" s="12" t="n"/>
      <c r="F63" s="12" t="n"/>
      <c r="G63" s="12" t="n"/>
    </row>
    <row r="64">
      <c r="A64" s="12" t="n"/>
      <c r="B64" s="12" t="n"/>
      <c r="C64" s="12" t="n"/>
      <c r="D64" s="12" t="n"/>
      <c r="E64" s="12" t="n"/>
      <c r="F64" s="12" t="n"/>
      <c r="G64" s="12" t="n"/>
    </row>
    <row r="65">
      <c r="A65" s="12" t="n"/>
      <c r="B65" s="12" t="n"/>
      <c r="C65" s="12" t="n"/>
      <c r="D65" s="12" t="n"/>
      <c r="E65" s="12" t="n"/>
      <c r="F65" s="12" t="n"/>
      <c r="G65" s="12" t="n"/>
    </row>
    <row r="66">
      <c r="A66" s="12" t="n"/>
      <c r="B66" s="12" t="n"/>
      <c r="C66" s="12" t="n"/>
      <c r="D66" s="12" t="n"/>
      <c r="E66" s="12" t="n"/>
      <c r="F66" s="12" t="n"/>
      <c r="G66" s="12" t="n"/>
    </row>
    <row r="67">
      <c r="A67" s="12" t="n"/>
      <c r="B67" s="12" t="n"/>
      <c r="C67" s="12" t="n"/>
      <c r="D67" s="12" t="n"/>
      <c r="E67" s="12" t="n"/>
      <c r="F67" s="12" t="n"/>
      <c r="G67" s="12" t="n"/>
    </row>
    <row r="68">
      <c r="A68" s="12" t="n"/>
      <c r="B68" s="12" t="n"/>
      <c r="C68" s="12" t="n"/>
      <c r="D68" s="12" t="n"/>
      <c r="E68" s="12" t="n"/>
      <c r="F68" s="12" t="n"/>
      <c r="G68" s="12" t="n"/>
    </row>
    <row r="69">
      <c r="A69" s="12" t="n"/>
      <c r="B69" s="12" t="n"/>
      <c r="C69" s="12" t="n"/>
      <c r="D69" s="12" t="n"/>
      <c r="E69" s="12" t="n"/>
      <c r="F69" s="12" t="n"/>
      <c r="G69" s="12" t="n"/>
    </row>
    <row r="70">
      <c r="A70" s="12" t="n"/>
      <c r="B70" s="12" t="n"/>
      <c r="C70" s="12" t="n"/>
      <c r="D70" s="12" t="n"/>
      <c r="E70" s="12" t="n"/>
      <c r="F70" s="12" t="n"/>
      <c r="G70" s="12" t="n"/>
    </row>
    <row r="71">
      <c r="A71" s="12" t="n"/>
      <c r="B71" s="12" t="n"/>
      <c r="C71" s="12" t="n"/>
      <c r="D71" s="12" t="n"/>
      <c r="E71" s="12" t="n"/>
      <c r="F71" s="12" t="n"/>
      <c r="G71" s="12" t="n"/>
    </row>
    <row r="72">
      <c r="A72" s="12" t="n"/>
      <c r="B72" s="12" t="n"/>
      <c r="C72" s="12" t="n"/>
      <c r="D72" s="12" t="n"/>
      <c r="E72" s="12" t="n"/>
      <c r="F72" s="12" t="n"/>
      <c r="G72" s="12" t="n"/>
    </row>
    <row r="73">
      <c r="A73" s="12" t="n"/>
      <c r="B73" s="12" t="n"/>
      <c r="C73" s="12" t="n"/>
      <c r="D73" s="12" t="n"/>
      <c r="E73" s="12" t="n"/>
      <c r="F73" s="12" t="n"/>
      <c r="G73" s="12" t="n"/>
    </row>
    <row r="74">
      <c r="A74" s="12" t="n"/>
      <c r="B74" s="12" t="n"/>
      <c r="C74" s="12" t="n"/>
      <c r="D74" s="12" t="n"/>
      <c r="E74" s="12" t="n"/>
      <c r="F74" s="12" t="n"/>
      <c r="G74" s="12" t="n"/>
    </row>
    <row r="75">
      <c r="A75" s="12" t="n"/>
      <c r="B75" s="12" t="n"/>
      <c r="C75" s="12" t="n"/>
      <c r="D75" s="12" t="n"/>
      <c r="E75" s="12" t="n"/>
      <c r="F75" s="12" t="n"/>
      <c r="G75" s="12" t="n"/>
    </row>
    <row r="76">
      <c r="A76" s="12" t="n"/>
      <c r="B76" s="12" t="n"/>
      <c r="C76" s="12" t="n"/>
      <c r="D76" s="12" t="n"/>
      <c r="E76" s="12" t="n"/>
      <c r="F76" s="12" t="n"/>
      <c r="G76" s="12" t="n"/>
    </row>
    <row r="77">
      <c r="A77" s="12" t="n"/>
      <c r="B77" s="12" t="n"/>
      <c r="C77" s="12" t="n"/>
      <c r="D77" s="12" t="n"/>
      <c r="E77" s="12" t="n"/>
      <c r="F77" s="12" t="n"/>
      <c r="G77" s="12" t="n"/>
    </row>
    <row r="78">
      <c r="A78" s="12" t="n"/>
      <c r="B78" s="12" t="n"/>
      <c r="C78" s="12" t="n"/>
      <c r="D78" s="12" t="n"/>
      <c r="E78" s="12" t="n"/>
      <c r="F78" s="12" t="n"/>
      <c r="G78" s="12" t="n"/>
    </row>
    <row r="79">
      <c r="A79" s="12" t="n"/>
      <c r="B79" s="12" t="n"/>
      <c r="C79" s="12" t="n"/>
      <c r="D79" s="12" t="n"/>
      <c r="E79" s="12" t="n"/>
      <c r="F79" s="12" t="n"/>
      <c r="G79" s="12" t="n"/>
    </row>
    <row r="80">
      <c r="A80" s="12" t="n"/>
      <c r="B80" s="12" t="n"/>
      <c r="C80" s="12" t="n"/>
      <c r="D80" s="12" t="n"/>
      <c r="E80" s="12" t="n"/>
      <c r="F80" s="12" t="n"/>
      <c r="G80" s="12" t="n"/>
    </row>
    <row r="81">
      <c r="A81" s="12" t="n"/>
      <c r="B81" s="12" t="n"/>
      <c r="C81" s="12" t="n"/>
      <c r="D81" s="12" t="n"/>
      <c r="E81" s="12" t="n"/>
      <c r="F81" s="12" t="n"/>
      <c r="G81" s="12" t="n"/>
    </row>
    <row r="82">
      <c r="A82" s="12" t="n"/>
      <c r="B82" s="12" t="n"/>
      <c r="C82" s="12" t="n"/>
      <c r="D82" s="12" t="n"/>
      <c r="E82" s="12" t="n"/>
      <c r="F82" s="12" t="n"/>
      <c r="G82" s="12" t="n"/>
    </row>
    <row r="83">
      <c r="A83" s="12" t="n"/>
      <c r="B83" s="12" t="n"/>
      <c r="C83" s="12" t="n"/>
      <c r="D83" s="12" t="n"/>
      <c r="E83" s="12" t="n"/>
      <c r="F83" s="12" t="n"/>
      <c r="G83" s="12" t="n"/>
    </row>
    <row r="84">
      <c r="A84" s="12" t="n"/>
      <c r="B84" s="12" t="n"/>
      <c r="C84" s="12" t="n"/>
      <c r="D84" s="12" t="n"/>
      <c r="E84" s="12" t="n"/>
      <c r="F84" s="12" t="n"/>
      <c r="G84" s="12" t="n"/>
    </row>
    <row r="85">
      <c r="A85" s="12" t="n"/>
      <c r="B85" s="12" t="n"/>
      <c r="C85" s="12" t="n"/>
      <c r="D85" s="12" t="n"/>
      <c r="E85" s="12" t="n"/>
      <c r="F85" s="12" t="n"/>
      <c r="G85" s="12" t="n"/>
    </row>
    <row r="86">
      <c r="A86" s="12" t="n"/>
      <c r="B86" s="12" t="n"/>
      <c r="C86" s="12" t="n"/>
      <c r="D86" s="12" t="n"/>
      <c r="E86" s="12" t="n"/>
      <c r="F86" s="12" t="n"/>
      <c r="G86" s="12" t="n"/>
    </row>
    <row r="87">
      <c r="A87" s="12" t="n"/>
      <c r="B87" s="12" t="n"/>
      <c r="C87" s="12" t="n"/>
      <c r="D87" s="12" t="n"/>
      <c r="E87" s="12" t="n"/>
      <c r="F87" s="12" t="n"/>
      <c r="G87" s="12" t="n"/>
    </row>
    <row r="88">
      <c r="A88" s="12" t="n"/>
      <c r="B88" s="12" t="n"/>
      <c r="C88" s="12" t="n"/>
      <c r="D88" s="12" t="n"/>
      <c r="E88" s="12" t="n"/>
      <c r="F88" s="12" t="n"/>
      <c r="G88" s="12" t="n"/>
    </row>
    <row r="89">
      <c r="A89" s="12" t="n"/>
      <c r="B89" s="12" t="n"/>
      <c r="C89" s="12" t="n"/>
      <c r="D89" s="12" t="n"/>
      <c r="E89" s="12" t="n"/>
      <c r="F89" s="12" t="n"/>
      <c r="G89" s="12" t="n"/>
    </row>
    <row r="90">
      <c r="A90" s="12" t="n"/>
      <c r="B90" s="12" t="n"/>
      <c r="C90" s="12" t="n"/>
      <c r="D90" s="12" t="n"/>
      <c r="E90" s="12" t="n"/>
      <c r="F90" s="12" t="n"/>
      <c r="G90" s="12" t="n"/>
    </row>
    <row r="91">
      <c r="A91" s="12" t="n"/>
      <c r="B91" s="12" t="n"/>
      <c r="C91" s="12" t="n"/>
      <c r="D91" s="12" t="n"/>
      <c r="E91" s="12" t="n"/>
      <c r="F91" s="12" t="n"/>
      <c r="G91" s="12" t="n"/>
    </row>
    <row r="92">
      <c r="A92" s="12" t="n"/>
      <c r="B92" s="12" t="n"/>
      <c r="C92" s="12" t="n"/>
      <c r="D92" s="12" t="n"/>
      <c r="E92" s="12" t="n"/>
      <c r="F92" s="12" t="n"/>
      <c r="G92" s="12" t="n"/>
    </row>
    <row r="93">
      <c r="A93" s="12" t="n"/>
      <c r="B93" s="12" t="n"/>
      <c r="C93" s="12" t="n"/>
      <c r="D93" s="12" t="n"/>
      <c r="E93" s="12" t="n"/>
      <c r="F93" s="12" t="n"/>
      <c r="G93" s="12" t="n"/>
    </row>
    <row r="94">
      <c r="A94" s="12" t="n"/>
      <c r="B94" s="12" t="n"/>
      <c r="C94" s="12" t="n"/>
      <c r="D94" s="12" t="n"/>
      <c r="E94" s="12" t="n"/>
      <c r="F94" s="12" t="n"/>
      <c r="G94" s="12" t="n"/>
    </row>
    <row r="95">
      <c r="A95" s="12" t="n"/>
      <c r="B95" s="12" t="n"/>
      <c r="C95" s="12" t="n"/>
      <c r="D95" s="12" t="n"/>
      <c r="E95" s="12" t="n"/>
      <c r="F95" s="12" t="n"/>
      <c r="G95" s="12" t="n"/>
    </row>
    <row r="96">
      <c r="A96" s="12" t="n"/>
      <c r="B96" s="12" t="n"/>
      <c r="C96" s="12" t="n"/>
      <c r="D96" s="12" t="n"/>
      <c r="E96" s="12" t="n"/>
      <c r="F96" s="12" t="n"/>
      <c r="G96" s="12" t="n"/>
    </row>
    <row r="97">
      <c r="A97" s="12" t="n"/>
      <c r="B97" s="12" t="n"/>
      <c r="C97" s="12" t="n"/>
      <c r="D97" s="12" t="n"/>
      <c r="E97" s="12" t="n"/>
      <c r="F97" s="12" t="n"/>
      <c r="G97" s="12" t="n"/>
    </row>
    <row r="98">
      <c r="A98" s="12" t="n"/>
      <c r="B98" s="12" t="n"/>
      <c r="C98" s="12" t="n"/>
      <c r="D98" s="12" t="n"/>
      <c r="E98" s="12" t="n"/>
      <c r="F98" s="12" t="n"/>
      <c r="G98" s="12" t="n"/>
    </row>
    <row r="99">
      <c r="A99" s="12" t="n"/>
      <c r="B99" s="12" t="n"/>
      <c r="C99" s="12" t="n"/>
      <c r="D99" s="12" t="n"/>
      <c r="E99" s="12" t="n"/>
      <c r="F99" s="12" t="n"/>
      <c r="G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</row>
  </sheetData>
  <dataValidations count="2">
    <dataValidation sqref="E4:E104" showDropDown="0" showInputMessage="0" showErrorMessage="0" allowBlank="1" type="list">
      <formula1>"Ready to expand,Build a skill,Improve the brief or CLAUDE.md,Add a tool or MCP server,Out of scope"</formula1>
    </dataValidation>
    <dataValidation sqref="B5:B104" showDropDown="0" showInputMessage="0" showErrorMessage="0" allowBlank="1" type="list">
      <formula1>'Target Tasks'!$A$5:$A$104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6" customWidth="1" min="3" max="3"/>
    <col width="14" customWidth="1" min="4" max="4"/>
    <col width="14" customWidth="1" min="5" max="5"/>
    <col width="44" customWidth="1" min="6" max="6"/>
  </cols>
  <sheetData>
    <row r="1">
      <c r="A1" s="9" t="inlineStr">
        <is>
          <t>Exit criteria</t>
        </is>
      </c>
    </row>
    <row r="2">
      <c r="A2" s="2" t="inlineStr">
        <is>
          <t>Set before results come in. Rows 5 and 6 calculate from the Summary, and row 9 from Target Tasks. Set each target from the foundation's own week-1 baseline; Anthropic benchmarks are for comparison only. Row 4 is an example.</t>
        </is>
      </c>
    </row>
    <row r="3" ht="42" customHeight="1">
      <c r="A3" s="10" t="inlineStr">
        <is>
          <t>Criterion</t>
        </is>
      </c>
      <c r="B3" s="10" t="inlineStr">
        <is>
          <t>Source</t>
        </is>
      </c>
      <c r="C3" s="10" t="inlineStr">
        <is>
          <t>Target</t>
        </is>
      </c>
      <c r="D3" s="10" t="inlineStr">
        <is>
          <t>Measured</t>
        </is>
      </c>
      <c r="E3" s="10" t="inlineStr">
        <is>
          <t>Met?</t>
        </is>
      </c>
      <c r="F3" s="10" t="inlineStr">
        <is>
          <t>Notes</t>
        </is>
      </c>
    </row>
    <row r="4">
      <c r="A4" s="11" t="inlineStr">
        <is>
          <t>Example: average reviewer time per pull request made with Claude Code</t>
        </is>
      </c>
      <c r="B4" s="11" t="inlineStr">
        <is>
          <t>Set by the foundation team</t>
        </is>
      </c>
      <c r="C4" s="11" t="inlineStr">
        <is>
          <t>Under 20 minutes</t>
        </is>
      </c>
      <c r="D4" s="11" t="inlineStr"/>
      <c r="E4" s="11" t="inlineStr">
        <is>
          <t>Not yet measured</t>
        </is>
      </c>
      <c r="F4" s="11" t="inlineStr"/>
    </row>
    <row r="5">
      <c r="A5" s="12" t="inlineStr">
        <is>
          <t>Target-task pass rate</t>
        </is>
      </c>
      <c r="B5" s="12" t="inlineStr">
        <is>
          <t>Set by the foundation team</t>
        </is>
      </c>
      <c r="C5" s="26" t="n"/>
      <c r="D5" s="27">
        <f>Summary!M9</f>
        <v/>
      </c>
      <c r="E5" s="13">
        <f>IF(OR(C5="",D5=""),"Not yet measured",IF(D5&gt;=C5,"Yes","No"))</f>
        <v/>
      </c>
      <c r="F5" s="12" t="n"/>
    </row>
    <row r="6">
      <c r="A6" s="12" t="inlineStr">
        <is>
          <t>Share of cases passing every run</t>
        </is>
      </c>
      <c r="B6" s="12" t="inlineStr">
        <is>
          <t>Set by the foundation team</t>
        </is>
      </c>
      <c r="C6" s="26" t="n"/>
      <c r="D6" s="27">
        <f>Summary!M12</f>
        <v/>
      </c>
      <c r="E6" s="13">
        <f>IF(OR(C6="",D6=""),"Not yet measured",IF(D6&gt;=C6,"Yes","No"))</f>
        <v/>
      </c>
      <c r="F6" s="12" t="n"/>
    </row>
    <row r="7">
      <c r="A7" s="12" t="inlineStr">
        <is>
          <t>Daily active users against assigned seats</t>
        </is>
      </c>
      <c r="B7" s="12" t="inlineStr">
        <is>
          <t>Set by the foundation team from the week-1 baseline (analytics dashboard, Adoption chart)</t>
        </is>
      </c>
      <c r="C7" s="12" t="n"/>
      <c r="D7" s="12" t="n"/>
      <c r="E7" s="12" t="n"/>
      <c r="F7" s="12" t="n"/>
    </row>
    <row r="8">
      <c r="A8" s="12" t="inlineStr">
        <is>
          <t>Merged pull requests with Claude Code (PRs with Claude Code %)</t>
        </is>
      </c>
      <c r="B8" s="12" t="inlineStr">
        <is>
          <t>Set by the foundation team from the week-1 baseline (contribution metrics)</t>
        </is>
      </c>
      <c r="C8" s="12" t="n"/>
      <c r="D8" s="12" t="n"/>
      <c r="E8" s="12" t="n"/>
      <c r="F8" s="12" t="n"/>
    </row>
    <row r="9">
      <c r="A9" s="12" t="inlineStr">
        <is>
          <t>Target tasks ready to expand</t>
        </is>
      </c>
      <c r="B9" s="12" t="inlineStr">
        <is>
          <t>Set by the foundation team</t>
        </is>
      </c>
      <c r="C9" s="12" t="n"/>
      <c r="D9" s="13">
        <f>IF(COUNTA('Target Tasks'!$A$5:$A$104)=0,"",COUNTIF('Target Tasks'!$H$5:$H$104,"Ready to expand")&amp;" of "&amp;COUNTA('Target Tasks'!$A$5:$A$104)&amp;" target tasks ready")</f>
        <v/>
      </c>
      <c r="E9" s="12" t="n"/>
      <c r="F9" s="12" t="n"/>
    </row>
    <row r="10">
      <c r="A10" s="12" t="inlineStr">
        <is>
          <t>Cost per developer per active day</t>
        </is>
      </c>
      <c r="B10" s="12" t="inlineStr">
        <is>
          <t>Anthropic benchmark: about $13 on average, and under $30 for 90% of users</t>
        </is>
      </c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</sheetData>
  <conditionalFormatting sqref="E5:E2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E4 E7:E24" showDropDown="0" showInputMessage="0" showErrorMessage="0" allowBlank="1" type="list">
      <formula1>"Yes,No,Not yet measured"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World Wide Technology</dc:creator>
  <dc:title xmlns:dc="http://purl.org/dc/elements/1.1/">Foundation evaluation tracker</dc:title>
  <dc:subject xmlns:dc="http://purl.org/dc/elements/1.1/">Claude Lab: Evaluate Claude Code on Your Own Work</dc:subject>
  <dcterms:created xmlns:dcterms="http://purl.org/dc/terms/" xmlns:xsi="http://www.w3.org/2001/XMLSchema-instance" xsi:type="dcterms:W3CDTF">2026-10-06T16:28:46Z</dcterms:created>
  <dcterms:modified xmlns:dcterms="http://purl.org/dc/terms/" xmlns:xsi="http://www.w3.org/2001/XMLSchema-instance" xsi:type="dcterms:W3CDTF">2026-10-06T16:28:47Z</dcterms:modified>
</cp:coreProperties>
</file>